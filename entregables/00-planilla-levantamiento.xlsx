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1-Checklist" sheetId="2" state="visible" r:id="rId4"/>
    <sheet name="2-Tramos y alturas" sheetId="3" state="visible" r:id="rId5"/>
    <sheet name="3-Columnas" sheetId="4" state="visible" r:id="rId6"/>
    <sheet name="4-Puertas y vanos" sheetId="5" state="visible" r:id="rId7"/>
    <sheet name="5-Cavas" sheetId="6" state="visible" r:id="rId8"/>
    <sheet name="6-Equipos existentes" sheetId="7" state="visible" r:id="rId9"/>
  </sheets>
  <definedNames>
    <definedName function="false" hidden="false" localSheetId="1" name="_xlnm.Print_Titles" vbProcedure="false">'1-Checklist'!$4:$4</definedName>
    <definedName function="false" hidden="true" localSheetId="1" name="_xlnm._FilterDatabase" vbProcedure="false">'1-Checklist'!$A$4:$L$85</definedName>
    <definedName function="false" hidden="false" localSheetId="2" name="_xlnm.Print_Titles" vbProcedure="false">'2-Tramos y alturas'!$5:$5</definedName>
    <definedName function="false" hidden="false" localSheetId="3" name="_xlnm.Print_Titles" vbProcedure="false">'3-Columnas'!$4:$4</definedName>
    <definedName function="false" hidden="false" localSheetId="4" name="_xlnm.Print_Titles" vbProcedure="false">'4-Puertas y vanos'!$4:$4</definedName>
    <definedName function="false" hidden="false" localSheetId="5" name="_xlnm.Print_Titles" vbProcedure="false">'5-Cavas'!$4:$4</definedName>
    <definedName function="false" hidden="false" localSheetId="6" name="_xlnm.Print_Titles" vbProcedure="false">'6-Equipos existentes'!$4:$4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<sst xmlns="http://schemas.openxmlformats.org/spreadsheetml/2006/main" count="891" uniqueCount="563">
  <si>
    <t xml:space="preserve">Planilla de levantamiento · Cocina central Grupo BS 2000</t>
  </si>
  <si>
    <t xml:space="preserve">Fase 0 · 26-10-2026 · Acompaña a entregables/00-fase-0-levantamiento-de-datos.md</t>
  </si>
  <si>
    <t xml:space="preserve">Cómo usar esta planilla</t>
  </si>
  <si>
    <t xml:space="preserve">1. Llena solo las celdas AMARILLAS. Lo demás lo preparó el equipo consultor.</t>
  </si>
  <si>
    <t xml:space="preserve">2. La fila GRIS en itálica de cada tabla es un EJEMPLO del formato esperado. No la borres; no se toma en cuenta.</t>
  </si>
  <si>
    <t xml:space="preserve">3. Empieza por las filas P1 (bloqueantes). Con el bloque P1 completo arranca la Fase 1.</t>
  </si>
  <si>
    <t xml:space="preserve">4. Medidas en metros con 2 decimales (ej. 7,52) o en cm donde lo indica el encabezado.</t>
  </si>
  <si>
    <t xml:space="preserve">5. Nombra las fotos con el código de la fila (ej. P1-09_campana_frente.jpg) y súbelas a insumos/fotos/.</t>
  </si>
  <si>
    <t xml:space="preserve">6. Cuando termines un dato, cambia el Estado a «Listo» en la hoja 1-Checklist.</t>
  </si>
  <si>
    <t xml:space="preserve">7. Seguridad: no abras tableros eléctricos ni manipules el gas. Para eso, mantenimiento o un electricista.</t>
  </si>
  <si>
    <t xml:space="preserve">Leyenda</t>
  </si>
  <si>
    <t xml:space="preserve">Celda para llenar</t>
  </si>
  <si>
    <t xml:space="preserve">Fila de ejemplo</t>
  </si>
  <si>
    <t xml:space="preserve">P1 · Bloqueante</t>
  </si>
  <si>
    <t xml:space="preserve">P2 · Programa y layout</t>
  </si>
  <si>
    <t xml:space="preserve">P3 · Ingeniería, obra y presupuesto</t>
  </si>
  <si>
    <t xml:space="preserve">Hojas</t>
  </si>
  <si>
    <t xml:space="preserve">1-Checklist</t>
  </si>
  <si>
    <t xml:space="preserve">Todos los datos, uno por fila, con su prioridad y estado</t>
  </si>
  <si>
    <t xml:space="preserve">2-Tramos y alturas</t>
  </si>
  <si>
    <t xml:space="preserve">P1-04 y P1-05: tramos de pared, diagonales y alturas libres</t>
  </si>
  <si>
    <t xml:space="preserve">3-Columnas</t>
  </si>
  <si>
    <t xml:space="preserve">P1-06: ubicación y sección de cada columna</t>
  </si>
  <si>
    <t xml:space="preserve">4-Puertas y vanos</t>
  </si>
  <si>
    <t xml:space="preserve">P1-07: puertas, incluidas las de cavas</t>
  </si>
  <si>
    <t xml:space="preserve">5-Cavas</t>
  </si>
  <si>
    <t xml:space="preserve">P2-07: uso, temperatura, medidas y puerta de cada cava</t>
  </si>
  <si>
    <t xml:space="preserve">6-Equipos existentes</t>
  </si>
  <si>
    <t xml:space="preserve">P2-08: inventario con placa, medidas, energía, estado y decisión</t>
  </si>
  <si>
    <t xml:space="preserve">Avance (se calcula solo con la columna Estado de 1-Checklist)</t>
  </si>
  <si>
    <t xml:space="preserve">Prioridad</t>
  </si>
  <si>
    <t xml:space="preserve">Total de datos</t>
  </si>
  <si>
    <t xml:space="preserve">Listos o No aplica</t>
  </si>
  <si>
    <t xml:space="preserve">Pendientes o En proceso</t>
  </si>
  <si>
    <t xml:space="preserve">% de avance</t>
  </si>
  <si>
    <t xml:space="preserve">Total</t>
  </si>
  <si>
    <t xml:space="preserve">Checklist de levantamiento · Fase 0</t>
  </si>
  <si>
    <t xml:space="preserve">Llena solo las celdas amarillas. La fila gris es un ejemplo. Los códigos coinciden con entregables/00-fase-0-levantamiento-de-datos.md.</t>
  </si>
  <si>
    <t xml:space="preserve">ID</t>
  </si>
  <si>
    <t xml:space="preserve">Disciplina</t>
  </si>
  <si>
    <t xml:space="preserve">Dato requerido</t>
  </si>
  <si>
    <t xml:space="preserve">Cómo obtenerlo</t>
  </si>
  <si>
    <t xml:space="preserve">Unidad / formato</t>
  </si>
  <si>
    <t xml:space="preserve">Valor o respuesta</t>
  </si>
  <si>
    <t xml:space="preserve">Foto(s): nombre de archivo</t>
  </si>
  <si>
    <t xml:space="preserve">Responsable</t>
  </si>
  <si>
    <t xml:space="preserve">Fecha</t>
  </si>
  <si>
    <t xml:space="preserve">Estado</t>
  </si>
  <si>
    <t xml:space="preserve">Observaciones</t>
  </si>
  <si>
    <t xml:space="preserve">EJEMPLO</t>
  </si>
  <si>
    <t xml:space="preserve">P1</t>
  </si>
  <si>
    <t xml:space="preserve">Arquitectura</t>
  </si>
  <si>
    <t xml:space="preserve">Muro hacia el restaurante: espesor</t>
  </si>
  <si>
    <t xml:space="preserve">Medir en el marco de la puerta de servicio</t>
  </si>
  <si>
    <t xml:space="preserve">cm</t>
  </si>
  <si>
    <t xml:space="preserve">15</t>
  </si>
  <si>
    <t xml:space="preserve">P1-08_muro_marco.jpg</t>
  </si>
  <si>
    <t xml:space="preserve">Pedro (mantenimiento)</t>
  </si>
  <si>
    <t xml:space="preserve">28/10/2026</t>
  </si>
  <si>
    <t xml:space="preserve">Listo</t>
  </si>
  <si>
    <t xml:space="preserve">Bloque frisado por ambas caras</t>
  </si>
  <si>
    <t xml:space="preserve">P1-01a</t>
  </si>
  <si>
    <t xml:space="preserve">General</t>
  </si>
  <si>
    <t xml:space="preserve">Plano de planta baja subido a insumos/</t>
  </si>
  <si>
    <t xml:space="preserve">Subir plano-planta-baja.png (ver insumos/README.md)</t>
  </si>
  <si>
    <t xml:space="preserve">Archivo</t>
  </si>
  <si>
    <t xml:space="preserve">Pendiente</t>
  </si>
  <si>
    <t xml:space="preserve">P1-01b</t>
  </si>
  <si>
    <t xml:space="preserve">Fotos actuales subidas a insumos/fotos/: cocina, pisos, paredes, techo, campana, cavas, equipos</t>
  </si>
  <si>
    <t xml:space="preserve">Lista mínima en insumos/README.md</t>
  </si>
  <si>
    <t xml:space="preserve">Archivos</t>
  </si>
  <si>
    <t xml:space="preserve">P1-01c</t>
  </si>
  <si>
    <t xml:space="preserve">Captura(s) del listado de equipos a comprar subida(s)</t>
  </si>
  <si>
    <t xml:space="preserve">Subir equipos-a-comprar.png</t>
  </si>
  <si>
    <t xml:space="preserve">P1-02</t>
  </si>
  <si>
    <t xml:space="preserve">Equipos</t>
  </si>
  <si>
    <t xml:space="preserve">¿Ya compraste o pagaste algún equipo de la lista? ¿Cuáles?</t>
  </si>
  <si>
    <t xml:space="preserve">Respuesta directa. Recomendación: no comprar aún los equipos a gas ni el iVario</t>
  </si>
  <si>
    <t xml:space="preserve">Texto</t>
  </si>
  <si>
    <t xml:space="preserve">P1-03a</t>
  </si>
  <si>
    <t xml:space="preserve">Legal / hotel</t>
  </si>
  <si>
    <t xml:space="preserve">Obras que permite el contrato: abrir muro al restaurante, piso, desagües, campana, acometidas</t>
  </si>
  <si>
    <t xml:space="preserve">Revisar contrato de arrendamiento</t>
  </si>
  <si>
    <t xml:space="preserve">P1-03b</t>
  </si>
  <si>
    <t xml:space="preserve">Quién aprueba la obra en el hotel y en qué plazo</t>
  </si>
  <si>
    <t xml:space="preserve">Conversación con el hotel</t>
  </si>
  <si>
    <t xml:space="preserve">P1-04</t>
  </si>
  <si>
    <t xml:space="preserve">Medidas del polígono: tramos de pared y diagonales</t>
  </si>
  <si>
    <t xml:space="preserve">Protocolo §6.2. Anotar en la hoja 2</t>
  </si>
  <si>
    <t xml:space="preserve">m (2 decimales)</t>
  </si>
  <si>
    <t xml:space="preserve">P1-05</t>
  </si>
  <si>
    <t xml:space="preserve">Alturas libres h1–h4 en al menos 4 puntos</t>
  </si>
  <si>
    <t xml:space="preserve">Protocolo §6.3. Anotar en la hoja 2</t>
  </si>
  <si>
    <t xml:space="preserve">m</t>
  </si>
  <si>
    <t xml:space="preserve">P1-06</t>
  </si>
  <si>
    <t xml:space="preserve">Columnas: ubicación y sección (sobre todo la que está bajo la campana)</t>
  </si>
  <si>
    <t xml:space="preserve">Protocolo §6.4. Anotar en la hoja 3</t>
  </si>
  <si>
    <t xml:space="preserve">m / cm</t>
  </si>
  <si>
    <t xml:space="preserve">P1-07</t>
  </si>
  <si>
    <t xml:space="preserve">Puertas y vanos, incluidas las puertas de cavas</t>
  </si>
  <si>
    <t xml:space="preserve">Protocolo §6.5. Anotar en la hoja 4</t>
  </si>
  <si>
    <t xml:space="preserve">P1-08a</t>
  </si>
  <si>
    <t xml:space="preserve">Muro hacia el restaurante: material</t>
  </si>
  <si>
    <t xml:space="preserve">Golpear: ¿hueco o macizo? Protocolo §6.6</t>
  </si>
  <si>
    <t xml:space="preserve">Bloque / concreto / drywall / otro</t>
  </si>
  <si>
    <t xml:space="preserve">P1-08b</t>
  </si>
  <si>
    <t xml:space="preserve">P1-08c</t>
  </si>
  <si>
    <t xml:space="preserve">Muro hacia el restaurante: largo y alto disponibles para el pase</t>
  </si>
  <si>
    <t xml:space="preserve">Medir de esquina a esquina y de piso a techo</t>
  </si>
  <si>
    <t xml:space="preserve">m × m</t>
  </si>
  <si>
    <t xml:space="preserve">P1-08d</t>
  </si>
  <si>
    <t xml:space="preserve">Muro hacia el restaurante: ¿lleva tuberías, tomas, tableros o columnas?</t>
  </si>
  <si>
    <t xml:space="preserve">Observación y fotos desde ambos lados</t>
  </si>
  <si>
    <t xml:space="preserve">P1-09a</t>
  </si>
  <si>
    <t xml:space="preserve">MEP · extracción</t>
  </si>
  <si>
    <t xml:space="preserve">Campana: largo × ancho</t>
  </si>
  <si>
    <t xml:space="preserve">Protocolo §6.7</t>
  </si>
  <si>
    <t xml:space="preserve">P1-09b</t>
  </si>
  <si>
    <t xml:space="preserve">Campana: altura del borde inferior al piso (h4)</t>
  </si>
  <si>
    <t xml:space="preserve">Láser o cinta</t>
  </si>
  <si>
    <t xml:space="preserve">P1-09c</t>
  </si>
  <si>
    <t xml:space="preserve">Campana: número de filtros y medida de uno</t>
  </si>
  <si>
    <t xml:space="preserve">Contar y medir ancho × alto</t>
  </si>
  <si>
    <t xml:space="preserve">Cant. y cm</t>
  </si>
  <si>
    <t xml:space="preserve">P1-09d</t>
  </si>
  <si>
    <t xml:space="preserve">Motor de extracción: placa (marca, hp o kW, caudal) y ubicación</t>
  </si>
  <si>
    <t xml:space="preserve">Foto de la placa, con mantenimiento</t>
  </si>
  <si>
    <t xml:space="preserve">Texto + foto</t>
  </si>
  <si>
    <t xml:space="preserve">P1-09e</t>
  </si>
  <si>
    <t xml:space="preserve">Motor de inyección: placa y ubicación</t>
  </si>
  <si>
    <t xml:space="preserve">P1-09f</t>
  </si>
  <si>
    <t xml:space="preserve">MEP · incendio</t>
  </si>
  <si>
    <t xml:space="preserve">¿Tiene sistema de supresión? Marca y fecha de la última recarga</t>
  </si>
  <si>
    <t xml:space="preserve">Buscar cilindros, boquillas o palanca manual</t>
  </si>
  <si>
    <t xml:space="preserve">Sí / No + texto</t>
  </si>
  <si>
    <t xml:space="preserve">P1-10a</t>
  </si>
  <si>
    <t xml:space="preserve">MEP · gas</t>
  </si>
  <si>
    <t xml:space="preserve">Tipo de gas</t>
  </si>
  <si>
    <t xml:space="preserve">Preguntar a mantenimiento del hotel</t>
  </si>
  <si>
    <t xml:space="preserve">Gas natural por tubería / GLP bombonas / GLP tanque</t>
  </si>
  <si>
    <t xml:space="preserve">P1-10b</t>
  </si>
  <si>
    <t xml:space="preserve">Presión de suministro, si se conoce</t>
  </si>
  <si>
    <t xml:space="preserve">Placa del regulador o mantenimiento</t>
  </si>
  <si>
    <t xml:space="preserve">mbar / psi / pulg. c.a.</t>
  </si>
  <si>
    <t xml:space="preserve">P1-10c</t>
  </si>
  <si>
    <t xml:space="preserve">Medidor o regulador: ubicación</t>
  </si>
  <si>
    <t xml:space="preserve">Foto y marca en el croquis</t>
  </si>
  <si>
    <t xml:space="preserve">P1-10d</t>
  </si>
  <si>
    <t xml:space="preserve">Diámetro de la tubería principal de gas que entra a la cocina</t>
  </si>
  <si>
    <t xml:space="preserve">Mantenimiento o etiqueta de la tubería</t>
  </si>
  <si>
    <t xml:space="preserve">pulg.</t>
  </si>
  <si>
    <t xml:space="preserve">P1-10e</t>
  </si>
  <si>
    <t xml:space="preserve">Válvulas de corte existentes: ubicación</t>
  </si>
  <si>
    <t xml:space="preserve">Marcar en el croquis y fotografiar. NO manipular</t>
  </si>
  <si>
    <t xml:space="preserve">Croquis + fotos</t>
  </si>
  <si>
    <t xml:space="preserve">P1-11a</t>
  </si>
  <si>
    <t xml:space="preserve">MEP · electricidad</t>
  </si>
  <si>
    <t xml:space="preserve">¿Medidor eléctrico propio de la cocina o del hotel?</t>
  </si>
  <si>
    <t xml:space="preserve">Mantenimiento del hotel</t>
  </si>
  <si>
    <t xml:space="preserve">Propio / del hotel</t>
  </si>
  <si>
    <t xml:space="preserve">P1-11b</t>
  </si>
  <si>
    <t xml:space="preserve">Tableros de la cocina: ubicación y foto con la puerta abierta</t>
  </si>
  <si>
    <t xml:space="preserve">NO quitar la tapa interna</t>
  </si>
  <si>
    <t xml:space="preserve">P1-11c</t>
  </si>
  <si>
    <t xml:space="preserve">Breaker principal del tablero de la cocina: amperios y polos</t>
  </si>
  <si>
    <t xml:space="preserve">Leer en el breaker</t>
  </si>
  <si>
    <t xml:space="preserve">A y polos</t>
  </si>
  <si>
    <t xml:space="preserve">P1-11d</t>
  </si>
  <si>
    <t xml:space="preserve">Voltaje y fases disponibles (L–N y L–L)</t>
  </si>
  <si>
    <t xml:space="preserve">Lo mide un electricista</t>
  </si>
  <si>
    <t xml:space="preserve">V y n.º de fases</t>
  </si>
  <si>
    <t xml:space="preserve">P1-11e</t>
  </si>
  <si>
    <t xml:space="preserve">Planta eléctrica: placa (kVA o kW, voltaje, combustible)</t>
  </si>
  <si>
    <t xml:space="preserve">Foto de la placa</t>
  </si>
  <si>
    <t xml:space="preserve">P1-11f</t>
  </si>
  <si>
    <t xml:space="preserve">Planta eléctrica: qué cargas de la cocina respalda hoy y si la transferencia es automática</t>
  </si>
  <si>
    <t xml:space="preserve">P1-12a</t>
  </si>
  <si>
    <t xml:space="preserve">MEP · desagües</t>
  </si>
  <si>
    <t xml:space="preserve">Canaletas y rejillas: ubicación, largo, ancho, profundidad y hacia dónde corre el agua</t>
  </si>
  <si>
    <t xml:space="preserve">Protocolo §6.8. Marcar en el croquis</t>
  </si>
  <si>
    <t xml:space="preserve">P1-12b</t>
  </si>
  <si>
    <t xml:space="preserve">Sumideros puntuales: ubicación</t>
  </si>
  <si>
    <t xml:space="preserve">Marcar en el croquis</t>
  </si>
  <si>
    <t xml:space="preserve">Croquis</t>
  </si>
  <si>
    <t xml:space="preserve">P1-12c</t>
  </si>
  <si>
    <t xml:space="preserve">Mapa de agua empozada (15 min después de la limpieza de cierre)</t>
  </si>
  <si>
    <t xml:space="preserve">Fotos y croquis con el tamaño aproximado de cada charco</t>
  </si>
  <si>
    <t xml:space="preserve">P1-12d</t>
  </si>
  <si>
    <t xml:space="preserve">Trampa de grasa: ubicación, tamaño y frecuencia de limpieza</t>
  </si>
  <si>
    <t xml:space="preserve">Mantenimiento</t>
  </si>
  <si>
    <t xml:space="preserve">P1-13</t>
  </si>
  <si>
    <t xml:space="preserve">¿Quién hará las mediciones? ¿Puede ayudar mantenimiento o el electricista del hotel?</t>
  </si>
  <si>
    <t xml:space="preserve">Respuesta directa</t>
  </si>
  <si>
    <t xml:space="preserve">Nombre</t>
  </si>
  <si>
    <t xml:space="preserve">P2-01a</t>
  </si>
  <si>
    <t xml:space="preserve">P2</t>
  </si>
  <si>
    <t xml:space="preserve">Operación</t>
  </si>
  <si>
    <t xml:space="preserve">Menús de eventos tipo (los 3–5 más vendidos)</t>
  </si>
  <si>
    <t xml:space="preserve">Subir a insumos/documentos/</t>
  </si>
  <si>
    <t xml:space="preserve">P2-01b</t>
  </si>
  <si>
    <t xml:space="preserve">Estilo de servicio para un evento de 600 pax</t>
  </si>
  <si>
    <t xml:space="preserve">Emplatado / buffet / cóctel / mixto</t>
  </si>
  <si>
    <t xml:space="preserve">P2-01c</t>
  </si>
  <si>
    <t xml:space="preserve">Proporción de eventos on-premise / off-premise</t>
  </si>
  <si>
    <t xml:space="preserve">Estimado del último año</t>
  </si>
  <si>
    <t xml:space="preserve">%</t>
  </si>
  <si>
    <t xml:space="preserve">P2-02a</t>
  </si>
  <si>
    <t xml:space="preserve">Salones del hotel atendidos: capacidad de cada uno</t>
  </si>
  <si>
    <t xml:space="preserve">pax</t>
  </si>
  <si>
    <t xml:space="preserve">P2-02b</t>
  </si>
  <si>
    <t xml:space="preserve">Ruta y distancia de la cocina a cada salón (rampas, ascensor, escalones)</t>
  </si>
  <si>
    <t xml:space="preserve">Recorrer y medir o estimar</t>
  </si>
  <si>
    <t xml:space="preserve">m + texto</t>
  </si>
  <si>
    <t xml:space="preserve">P2-02c</t>
  </si>
  <si>
    <t xml:space="preserve">Transporte off-premise: vehículo y cajas térmicas disponibles</t>
  </si>
  <si>
    <t xml:space="preserve">P2-03a</t>
  </si>
  <si>
    <t xml:space="preserve">Reporte del sistema de ventas de 3 meses: platos por servicio y los 20 más vendidos</t>
  </si>
  <si>
    <t xml:space="preserve">Exportar del sistema de ventas</t>
  </si>
  <si>
    <t xml:space="preserve">P2-03b</t>
  </si>
  <si>
    <t xml:space="preserve">Hora pico del restaurante y comandas en esa hora</t>
  </si>
  <si>
    <t xml:space="preserve">Reporte de ventas o estimado del chef</t>
  </si>
  <si>
    <t xml:space="preserve">hora y n.º</t>
  </si>
  <si>
    <t xml:space="preserve">P2-03c</t>
  </si>
  <si>
    <t xml:space="preserve">Tiempo actual de salida de platos (comanda → pase)</t>
  </si>
  <si>
    <t xml:space="preserve">Estimado del chef</t>
  </si>
  <si>
    <t xml:space="preserve">min</t>
  </si>
  <si>
    <t xml:space="preserve">P2-03d</t>
  </si>
  <si>
    <t xml:space="preserve">Carta en español, si difiere de la inglesa</t>
  </si>
  <si>
    <t xml:space="preserve">P2-04a</t>
  </si>
  <si>
    <t xml:space="preserve">Desayunos: formato</t>
  </si>
  <si>
    <t xml:space="preserve">Buffet / a la carta / mixto</t>
  </si>
  <si>
    <t xml:space="preserve">P2-04b</t>
  </si>
  <si>
    <t xml:space="preserve">Desayunos: carta, horario, dónde se sirven y si son para huéspedes</t>
  </si>
  <si>
    <t xml:space="preserve">Subir carta y responder</t>
  </si>
  <si>
    <t xml:space="preserve">P2-05a</t>
  </si>
  <si>
    <t xml:space="preserve">Horario exacto de cada turno</t>
  </si>
  <si>
    <t xml:space="preserve">hh:mm–hh:mm</t>
  </si>
  <si>
    <t xml:space="preserve">P2-05b</t>
  </si>
  <si>
    <t xml:space="preserve">Cocineros por estación y turno</t>
  </si>
  <si>
    <t xml:space="preserve">n.º</t>
  </si>
  <si>
    <t xml:space="preserve">P2-05c</t>
  </si>
  <si>
    <t xml:space="preserve">Máximo de personas a la vez en la cocina</t>
  </si>
  <si>
    <t xml:space="preserve">P2-06a</t>
  </si>
  <si>
    <t xml:space="preserve">Pastelería y pasapalos: productos y volumen semanal</t>
  </si>
  <si>
    <t xml:space="preserve">Respuesta del chef</t>
  </si>
  <si>
    <t xml:space="preserve">P2-06b</t>
  </si>
  <si>
    <t xml:space="preserve">Horas de uso del horno por pastelería (días y franjas)</t>
  </si>
  <si>
    <t xml:space="preserve">P2-07</t>
  </si>
  <si>
    <t xml:space="preserve">Cavas: uso, temperatura, medidas, puerta y condensador</t>
  </si>
  <si>
    <t xml:space="preserve">Anotar en la hoja 5</t>
  </si>
  <si>
    <t xml:space="preserve">Ver hoja 5</t>
  </si>
  <si>
    <t xml:space="preserve">P2-08</t>
  </si>
  <si>
    <t xml:space="preserve">Equipos existentes: placa, medidas, estado y decisión</t>
  </si>
  <si>
    <t xml:space="preserve">Protocolo §6.9. Anotar en la hoja 6</t>
  </si>
  <si>
    <t xml:space="preserve">Ver hoja 6</t>
  </si>
  <si>
    <t xml:space="preserve">P2-09a</t>
  </si>
  <si>
    <t xml:space="preserve">¿La lista de equipos nuevos es definitiva?</t>
  </si>
  <si>
    <t xml:space="preserve">Sí / No + cambios</t>
  </si>
  <si>
    <t xml:space="preserve">P2-09b</t>
  </si>
  <si>
    <t xml:space="preserve">Precio de la amasadora Estella SM50 y modelo de la salamandra Vulcan</t>
  </si>
  <si>
    <t xml:space="preserve">Captura de la cotización</t>
  </si>
  <si>
    <t xml:space="preserve">USD / modelo</t>
  </si>
  <si>
    <t xml:space="preserve">P2-09c</t>
  </si>
  <si>
    <t xml:space="preserve">¿Se considera un horno de pizza o un cuece-pastas?</t>
  </si>
  <si>
    <t xml:space="preserve">Sí / No</t>
  </si>
  <si>
    <t xml:space="preserve">P2-10a</t>
  </si>
  <si>
    <t xml:space="preserve">Recepción: días y horas de entrega, volumen por entrega</t>
  </si>
  <si>
    <t xml:space="preserve">P2-10b</t>
  </si>
  <si>
    <t xml:space="preserve">Principales proveedores y dónde se guardan hoy los secos</t>
  </si>
  <si>
    <t xml:space="preserve">P2-11</t>
  </si>
  <si>
    <t xml:space="preserve">Residuos y aceite usado: dónde se acumulan, frecuencia de retiro y ruta de salida</t>
  </si>
  <si>
    <t xml:space="preserve">P2-12a</t>
  </si>
  <si>
    <t xml:space="preserve">Dishwasher: marca y modelo</t>
  </si>
  <si>
    <t xml:space="preserve">P2-12b</t>
  </si>
  <si>
    <t xml:space="preserve">Volumen de vajilla por servicio y lavado del equipo que vuelve de eventos off-premise</t>
  </si>
  <si>
    <t xml:space="preserve">P2-13</t>
  </si>
  <si>
    <t xml:space="preserve">Espacios contiguos (restaurante secundario, almacén, cristalería): ¿están arrendados y son utilizables?</t>
  </si>
  <si>
    <t xml:space="preserve">Contrato y respuesta directa</t>
  </si>
  <si>
    <t xml:space="preserve">P2-14</t>
  </si>
  <si>
    <t xml:space="preserve">Cómo y con qué equipo se hacen hoy las pizzettas y la pasta</t>
  </si>
  <si>
    <t xml:space="preserve">P2-15</t>
  </si>
  <si>
    <t xml:space="preserve">Comandas: cómo llegan hoy (papel, impresora, pantalla) y qué sistema de ventas usan</t>
  </si>
  <si>
    <t xml:space="preserve">P3-01a</t>
  </si>
  <si>
    <t xml:space="preserve">P3</t>
  </si>
  <si>
    <t xml:space="preserve">MEP · agua</t>
  </si>
  <si>
    <t xml:space="preserve">Calentador de agua: tipo, capacidad y ubicación</t>
  </si>
  <si>
    <t xml:space="preserve">L / gal + texto</t>
  </si>
  <si>
    <t xml:space="preserve">P3-01b</t>
  </si>
  <si>
    <t xml:space="preserve">Presión de agua aproximada, tanque o cisterna, y frecuencia de cortes</t>
  </si>
  <si>
    <t xml:space="preserve">P3-01c</t>
  </si>
  <si>
    <t xml:space="preserve">Dureza del agua</t>
  </si>
  <si>
    <t xml:space="preserve">Kit de prueba de dureza o análisis de laboratorio</t>
  </si>
  <si>
    <t xml:space="preserve">ppm o °dH</t>
  </si>
  <si>
    <t xml:space="preserve">P3-02a</t>
  </si>
  <si>
    <t xml:space="preserve">Frecuencia y duración típicas de los apagones</t>
  </si>
  <si>
    <t xml:space="preserve">Registro o estimado</t>
  </si>
  <si>
    <t xml:space="preserve">veces/mes y horas</t>
  </si>
  <si>
    <t xml:space="preserve">P3-02b</t>
  </si>
  <si>
    <t xml:space="preserve">Facturas eléctricas de 6–12 meses</t>
  </si>
  <si>
    <t xml:space="preserve">P3-03a</t>
  </si>
  <si>
    <t xml:space="preserve">MEP · clima</t>
  </si>
  <si>
    <t xml:space="preserve">Aire acondicionado del área de pasapalos y del restaurante: capacidad y estado</t>
  </si>
  <si>
    <t xml:space="preserve">Foto de la placa de la unidad</t>
  </si>
  <si>
    <t xml:space="preserve">BTU/h + texto</t>
  </si>
  <si>
    <t xml:space="preserve">P3-03b</t>
  </si>
  <si>
    <t xml:space="preserve">Temperatura en la línea caliente en hora pico</t>
  </si>
  <si>
    <t xml:space="preserve">Termómetro a 1,5 m de altura frente a la línea</t>
  </si>
  <si>
    <t xml:space="preserve">°C</t>
  </si>
  <si>
    <t xml:space="preserve">P3-04</t>
  </si>
  <si>
    <t xml:space="preserve">Iluminación: cantidad y tipo de lámparas; lux en 5 puntos (opcional)</t>
  </si>
  <si>
    <t xml:space="preserve">Contar y usar una app de luxómetro</t>
  </si>
  <si>
    <t xml:space="preserve">n.º / lux</t>
  </si>
  <si>
    <t xml:space="preserve">P3-05</t>
  </si>
  <si>
    <t xml:space="preserve">¿La tubería roja es de rociadores? Extintores (tipo, fecha) e inspección de bomberos</t>
  </si>
  <si>
    <t xml:space="preserve">Observación y documentos</t>
  </si>
  <si>
    <t xml:space="preserve">P3-06</t>
  </si>
  <si>
    <t xml:space="preserve">Permiso sanitario vigente y actas de inspección con observaciones</t>
  </si>
  <si>
    <t xml:space="preserve">P3-07</t>
  </si>
  <si>
    <t xml:space="preserve">Obra</t>
  </si>
  <si>
    <t xml:space="preserve">Calendario de eventos de los próximos 3–6 meses y días de menor demanda</t>
  </si>
  <si>
    <t xml:space="preserve">Agenda de BS Catering</t>
  </si>
  <si>
    <t xml:space="preserve">Archivo / texto</t>
  </si>
  <si>
    <t xml:space="preserve">P3-08</t>
  </si>
  <si>
    <t xml:space="preserve">Presupuesto</t>
  </si>
  <si>
    <t xml:space="preserve">Presupuesto disponible (rango) y fecha objetivo; ¿ejecución por etapas?</t>
  </si>
  <si>
    <t xml:space="preserve">USD</t>
  </si>
  <si>
    <t xml:space="preserve">P3-09</t>
  </si>
  <si>
    <t xml:space="preserve">Manual de marca Blue58: logo en vector, colores y tipografías</t>
  </si>
  <si>
    <t xml:space="preserve">P3-10</t>
  </si>
  <si>
    <t xml:space="preserve">Proveedores locales de confianza: contratistas, electricistas, acero inoxidable, distribuidores</t>
  </si>
  <si>
    <t xml:space="preserve">Lista con contacto</t>
  </si>
  <si>
    <t xml:space="preserve">Tramos, diagonales y alturas libres (P1-04, P1-05)</t>
  </si>
  <si>
    <t xml:space="preserve">Esquina A = puerta de mercancía; sigue en sentido horario. Mide a 1 m de altura, de pared a pared, en metros con 2 decimales.</t>
  </si>
  <si>
    <t xml:space="preserve">Tramos de pared</t>
  </si>
  <si>
    <t xml:space="preserve">Tramo</t>
  </si>
  <si>
    <t xml:space="preserve">Orientación (N / S / E / O)</t>
  </si>
  <si>
    <t xml:space="preserve">Largo (m)</t>
  </si>
  <si>
    <t xml:space="preserve">Revestimiento actual</t>
  </si>
  <si>
    <t xml:space="preserve">Foto</t>
  </si>
  <si>
    <t xml:space="preserve">Notas</t>
  </si>
  <si>
    <t xml:space="preserve">EJEMPLO · A–B</t>
  </si>
  <si>
    <t xml:space="preserve">N</t>
  </si>
  <si>
    <t xml:space="preserve">Cerámica blanca</t>
  </si>
  <si>
    <t xml:space="preserve">Regular, juntas abiertas</t>
  </si>
  <si>
    <t xml:space="preserve">P1-04_A-B.jpg</t>
  </si>
  <si>
    <t xml:space="preserve">Puerta de servicio al restaurante a 2,10 m de A</t>
  </si>
  <si>
    <t xml:space="preserve">A–B</t>
  </si>
  <si>
    <t xml:space="preserve">B–C</t>
  </si>
  <si>
    <t xml:space="preserve">C–D</t>
  </si>
  <si>
    <t xml:space="preserve">D–E</t>
  </si>
  <si>
    <t xml:space="preserve">E–F</t>
  </si>
  <si>
    <t xml:space="preserve">F–G</t>
  </si>
  <si>
    <t xml:space="preserve">G–H</t>
  </si>
  <si>
    <t xml:space="preserve">H–I</t>
  </si>
  <si>
    <t xml:space="preserve">I–J</t>
  </si>
  <si>
    <t xml:space="preserve">J–K</t>
  </si>
  <si>
    <t xml:space="preserve">K–L</t>
  </si>
  <si>
    <t xml:space="preserve">L–M</t>
  </si>
  <si>
    <t xml:space="preserve">M–N</t>
  </si>
  <si>
    <t xml:space="preserve">N–O</t>
  </si>
  <si>
    <t xml:space="preserve">O–P</t>
  </si>
  <si>
    <t xml:space="preserve">Perímetro medido (m)</t>
  </si>
  <si>
    <t xml:space="preserve">Las filas sin uso se dejan vacías. Si hay más de 18 tramos, inserta filas dentro de la tabla.</t>
  </si>
  <si>
    <t xml:space="preserve">Diagonales (comprobación de escuadra)</t>
  </si>
  <si>
    <t xml:space="preserve">Rectángulo / zona</t>
  </si>
  <si>
    <t xml:space="preserve">Diagonal 1 (de → a)</t>
  </si>
  <si>
    <t xml:space="preserve">Largo diag. 1 (m)</t>
  </si>
  <si>
    <t xml:space="preserve">Diagonal 2 (de → a)</t>
  </si>
  <si>
    <t xml:space="preserve">Largo diag. 2 (m)</t>
  </si>
  <si>
    <t xml:space="preserve">Diferencia (m)</t>
  </si>
  <si>
    <t xml:space="preserve">EJEMPLO · Ala principal</t>
  </si>
  <si>
    <t xml:space="preserve">A → D</t>
  </si>
  <si>
    <t xml:space="preserve">B → C</t>
  </si>
  <si>
    <t xml:space="preserve">Diferencia &lt; 5 cm = a escuadra</t>
  </si>
  <si>
    <t xml:space="preserve">Alturas libres (ver diagrama en §6.3)</t>
  </si>
  <si>
    <t xml:space="preserve">Punto de medición</t>
  </si>
  <si>
    <t xml:space="preserve">h1 piso → placa (m)</t>
  </si>
  <si>
    <t xml:space="preserve">h2 piso → fondo de viga (m)</t>
  </si>
  <si>
    <t xml:space="preserve">h3 piso → ducto / tubería más baja (m)</t>
  </si>
  <si>
    <t xml:space="preserve">h4 piso → borde inferior campana (m)</t>
  </si>
  <si>
    <t xml:space="preserve">EJEMPLO · Junto a la campana</t>
  </si>
  <si>
    <t xml:space="preserve">P1-05_campana.jpg</t>
  </si>
  <si>
    <t xml:space="preserve">Ducto de inyección a 2,70 m</t>
  </si>
  <si>
    <t xml:space="preserve">Junto a la campana</t>
  </si>
  <si>
    <t xml:space="preserve">Centro del ala Blue58</t>
  </si>
  <si>
    <t xml:space="preserve">Zona de producción</t>
  </si>
  <si>
    <t xml:space="preserve">Entrada de mercancía</t>
  </si>
  <si>
    <t xml:space="preserve">Altura libre mínima medida (m)</t>
  </si>
  <si>
    <t xml:space="preserve">Columnas (P1-06)</t>
  </si>
  <si>
    <t xml:space="preserve">Numera las columnas en el croquis (C1, C2…). Mide la distancia a dos paredes perpendiculares y la sección.</t>
  </si>
  <si>
    <t xml:space="preserve">Ubicación (descripción)</t>
  </si>
  <si>
    <t xml:space="preserve">Pared de referencia 1</t>
  </si>
  <si>
    <t xml:space="preserve">Distancia a pared 1 (m)</t>
  </si>
  <si>
    <t xml:space="preserve">Pared de referencia 2</t>
  </si>
  <si>
    <t xml:space="preserve">Distancia a pared 2 (m)</t>
  </si>
  <si>
    <t xml:space="preserve">Sección ancho × fondo (cm) o diámetro</t>
  </si>
  <si>
    <t xml:space="preserve">¿Bajo la campana?</t>
  </si>
  <si>
    <t xml:space="preserve">Bajo la campana central</t>
  </si>
  <si>
    <t xml:space="preserve">Tramo A–B (norte)</t>
  </si>
  <si>
    <t xml:space="preserve">Tramo D–E (este)</t>
  </si>
  <si>
    <t xml:space="preserve">40 × 40</t>
  </si>
  <si>
    <t xml:space="preserve">Sí</t>
  </si>
  <si>
    <t xml:space="preserve">P1-06_C1.jpg</t>
  </si>
  <si>
    <t xml:space="preserve">Revestida en cerámica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</si>
  <si>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</si>
  <si>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</si>
  <si>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</si>
  <si>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</si>
  <si>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</si>
  <si>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</si>
  <si>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</si>
  <si>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</si>
  <si>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Puertas y vanos (P1-07)</t>
  </si>
  <si>
    <t xml:space="preserve">Incluye las puertas de todas las cavas. Ancho libre de marco a marco, por dentro.</t>
  </si>
  <si>
    <t xml:space="preserve">Conecta la cocina con…</t>
  </si>
  <si>
    <t xml:space="preserve">Tramo donde está</t>
  </si>
  <si>
    <t xml:space="preserve">Ancho libre (cm)</t>
  </si>
  <si>
    <t xml:space="preserve">Alto libre (cm)</t>
  </si>
  <si>
    <t xml:space="preserve">Tipo</t>
  </si>
  <si>
    <t xml:space="preserve">Abre hacia</t>
  </si>
  <si>
    <t xml:space="preserve">¿Pasan carros hoy?</t>
  </si>
  <si>
    <t xml:space="preserve">Restaurante (puerta de servicio)</t>
  </si>
  <si>
    <t xml:space="preserve">Vaivén</t>
  </si>
  <si>
    <t xml:space="preserve">Ambos lados</t>
  </si>
  <si>
    <t xml:space="preserve">No</t>
  </si>
  <si>
    <t xml:space="preserve">P1-07_PU1.jpg</t>
  </si>
  <si>
    <t xml:space="preserve">Sin visor; choques frecuentes</t>
  </si>
  <si>
    <t xml:space="preserve">PU1</t>
  </si>
  <si>
    <t xml:space="preserve">PU2</t>
  </si>
  <si>
    <t xml:space="preserve">Salón Privado 1</t>
  </si>
  <si>
    <t xml:space="preserve">PU3</t>
  </si>
  <si>
    <t xml:space="preserve">PU4</t>
  </si>
  <si>
    <t xml:space="preserve">Salida de catering</t>
  </si>
  <si>
    <t xml:space="preserve">PU5</t>
  </si>
  <si>
    <t xml:space="preserve">Escalera de servicio / almacén</t>
  </si>
  <si>
    <t xml:space="preserve">PU6</t>
  </si>
  <si>
    <t xml:space="preserve">Cava de vegetales</t>
  </si>
  <si>
    <t xml:space="preserve">PU7</t>
  </si>
  <si>
    <t xml:space="preserve">Cava de congelación</t>
  </si>
  <si>
    <t xml:space="preserve">PU8</t>
  </si>
  <si>
    <t xml:space="preserve">Cava de conservación sur 1</t>
  </si>
  <si>
    <t xml:space="preserve">PU9</t>
  </si>
  <si>
    <t xml:space="preserve">Cava de conservación sur 2</t>
  </si>
  <si>
    <t xml:space="preserve">PU10</t>
  </si>
  <si>
    <t xml:space="preserve">Cava de conservación sur 3</t>
  </si>
  <si>
    <t xml:space="preserve">PU11</t>
  </si>
  <si>
    <t xml:space="preserve">Área climatizada de pasapalos</t>
  </si>
  <si>
    <t xml:space="preserve">PU12</t>
  </si>
  <si>
    <t xml:space="preserve">Almacén de cristalería</t>
  </si>
  <si>
    <t xml:space="preserve">Cavas (P2-07)</t>
  </si>
  <si>
    <t xml:space="preserve">Las cavas son fijas e inamovibles. Agrega filas si hay más cavas de conservación al sur.</t>
  </si>
  <si>
    <t xml:space="preserve">Nombre / uso actual</t>
  </si>
  <si>
    <t xml:space="preserve">Ubicación</t>
  </si>
  <si>
    <t xml:space="preserve">Temperatura de trabajo (°C)</t>
  </si>
  <si>
    <t xml:space="preserve">Medidas internas L × A × H (m)</t>
  </si>
  <si>
    <t xml:space="preserve">Puerta: ancho (cm)</t>
  </si>
  <si>
    <t xml:space="preserve">Puerta: abre hacia</t>
  </si>
  <si>
    <t xml:space="preserve">Condensador: ubicación</t>
  </si>
  <si>
    <t xml:space="preserve">¿En planta eléctrica?</t>
  </si>
  <si>
    <t xml:space="preserve">Extremo este, dentro del polígono</t>
  </si>
  <si>
    <t xml:space="preserve">3,00 × 2,40 × 2,40</t>
  </si>
  <si>
    <t xml:space="preserve">Hacia la cocina</t>
  </si>
  <si>
    <t xml:space="preserve">Azotea</t>
  </si>
  <si>
    <t xml:space="preserve">Bueno</t>
  </si>
  <si>
    <t xml:space="preserve">P2-07_CV1.jpg</t>
  </si>
  <si>
    <t xml:space="preserve">Empaque de puerta gastado</t>
  </si>
  <si>
    <t xml:space="preserve">CV1</t>
  </si>
  <si>
    <t xml:space="preserve">CV2</t>
  </si>
  <si>
    <t xml:space="preserve">Oeste</t>
  </si>
  <si>
    <t xml:space="preserve">CV3</t>
  </si>
  <si>
    <t xml:space="preserve">Cava de conservación 1</t>
  </si>
  <si>
    <t xml:space="preserve">Sur</t>
  </si>
  <si>
    <t xml:space="preserve">CV4</t>
  </si>
  <si>
    <t xml:space="preserve">Cava de conservación 2</t>
  </si>
  <si>
    <t xml:space="preserve">CV5</t>
  </si>
  <si>
    <t xml:space="preserve">Cava de conservación 3</t>
  </si>
  <si>
    <t xml:space="preserve">CV6</t>
  </si>
  <si>
    <t xml:space="preserve">Cava de conservación 4</t>
  </si>
  <si>
    <t xml:space="preserve">Inventario de equipos existentes (P2-08)</t>
  </si>
  <si>
    <t xml:space="preserve">Por equipo: foto de frente con la cinta métrica y foto de la placa de datos. La lista viene del encargo; corrige o agrega lo que falte.</t>
  </si>
  <si>
    <t xml:space="preserve">Equipo</t>
  </si>
  <si>
    <t xml:space="preserve">Cantidad</t>
  </si>
  <si>
    <t xml:space="preserve">Marca</t>
  </si>
  <si>
    <t xml:space="preserve">Modelo</t>
  </si>
  <si>
    <t xml:space="preserve">Ancho (cm)</t>
  </si>
  <si>
    <t xml:space="preserve">Fondo (cm)</t>
  </si>
  <si>
    <t xml:space="preserve">Alto (cm)</t>
  </si>
  <si>
    <t xml:space="preserve">Energía</t>
  </si>
  <si>
    <t xml:space="preserve">Voltaje (V)</t>
  </si>
  <si>
    <t xml:space="preserve">Fases</t>
  </si>
  <si>
    <t xml:space="preserve">Amperios (A) o kW</t>
  </si>
  <si>
    <t xml:space="preserve">BTU/h (si es a gas)</t>
  </si>
  <si>
    <t xml:space="preserve">¿Agua?</t>
  </si>
  <si>
    <t xml:space="preserve">¿Desagüe?</t>
  </si>
  <si>
    <t xml:space="preserve">Decisión</t>
  </si>
  <si>
    <t xml:space="preserve">Ubicación actual</t>
  </si>
  <si>
    <t xml:space="preserve">Foto placa</t>
  </si>
  <si>
    <t xml:space="preserve">Foto frontal</t>
  </si>
  <si>
    <t xml:space="preserve">Horno de convección a gas #1 (sobre base-rack)</t>
  </si>
  <si>
    <t xml:space="preserve">Vulcan</t>
  </si>
  <si>
    <t xml:space="preserve">VC4GD</t>
  </si>
  <si>
    <t xml:space="preserve">GLP</t>
  </si>
  <si>
    <t xml:space="preserve">6 A</t>
  </si>
  <si>
    <t xml:space="preserve">Regular</t>
  </si>
  <si>
    <t xml:space="preserve">Se queda</t>
  </si>
  <si>
    <t xml:space="preserve">Junto a la campana, lado sur</t>
  </si>
  <si>
    <t xml:space="preserve">P2-08_EX07_placa.jpg</t>
  </si>
  <si>
    <t xml:space="preserve">P2-08_EX07_frente.jpg</t>
  </si>
  <si>
    <t xml:space="preserve">Puerta cierra mal</t>
  </si>
  <si>
    <t xml:space="preserve">EX01</t>
  </si>
  <si>
    <t xml:space="preserve">Cocina de 6 hornillas con horno</t>
  </si>
  <si>
    <t xml:space="preserve">EX02</t>
  </si>
  <si>
    <t xml:space="preserve">Hornillas sueltas</t>
  </si>
  <si>
    <t xml:space="preserve">EX03</t>
  </si>
  <si>
    <t xml:space="preserve">Plancha(s) a gas</t>
  </si>
  <si>
    <t xml:space="preserve">EX04</t>
  </si>
  <si>
    <t xml:space="preserve">Parrilla tipo charbroiler</t>
  </si>
  <si>
    <t xml:space="preserve">EX05</t>
  </si>
  <si>
    <t xml:space="preserve">Baño de María de 2 pozos</t>
  </si>
  <si>
    <t xml:space="preserve">EX06</t>
  </si>
  <si>
    <t xml:space="preserve">Freidora(s)</t>
  </si>
  <si>
    <t xml:space="preserve">EX07</t>
  </si>
  <si>
    <t xml:space="preserve">Horno de convección Vulcan a gas #1 (sobre base-rack)</t>
  </si>
  <si>
    <t xml:space="preserve">EX08</t>
  </si>
  <si>
    <t xml:space="preserve">Horno de convección Vulcan a gas #2 (sobre base-rack)</t>
  </si>
  <si>
    <t xml:space="preserve">EX09</t>
  </si>
  <si>
    <t xml:space="preserve">Horno combi (por confirmar marca y modelo)</t>
  </si>
  <si>
    <t xml:space="preserve">EX10</t>
  </si>
  <si>
    <t xml:space="preserve">Mesa(s) refrigerada(s) bajo mesón</t>
  </si>
  <si>
    <t xml:space="preserve">EX11</t>
  </si>
  <si>
    <t xml:space="preserve">Refrigerador True 2 puertas ("cava de pescados")</t>
  </si>
  <si>
    <t xml:space="preserve">EX12</t>
  </si>
  <si>
    <t xml:space="preserve">Refrigerador True 2 puertas ("cava de transición/pescados")</t>
  </si>
  <si>
    <t xml:space="preserve">EX13</t>
  </si>
  <si>
    <t xml:space="preserve">Dishwasher (lavavajillas)</t>
  </si>
  <si>
    <t xml:space="preserve">EX14</t>
  </si>
  <si>
    <t xml:space="preserve">Rebanadora existente</t>
  </si>
  <si>
    <t xml:space="preserve">EX15</t>
  </si>
  <si>
    <t xml:space="preserve">Fregadero de lavado grueso (entrada)</t>
  </si>
  <si>
    <t xml:space="preserve">EX16</t>
  </si>
  <si>
    <t xml:space="preserve">Fregadero de lavado de vajilla (junto a la puerta del restaurante)</t>
  </si>
  <si>
    <t xml:space="preserve">EX17</t>
  </si>
  <si>
    <t xml:space="preserve">Fregaderos de 1 pozo (otros)</t>
  </si>
  <si>
    <t xml:space="preserve">EX18</t>
  </si>
  <si>
    <t xml:space="preserve">Mesas de acero inoxidable</t>
  </si>
  <si>
    <t xml:space="preserve">EX19</t>
  </si>
  <si>
    <t xml:space="preserve">Estanterías</t>
  </si>
  <si>
    <t xml:space="preserve">EX20</t>
  </si>
  <si>
    <t xml:space="preserve">Balanza colgante</t>
  </si>
  <si>
    <t xml:space="preserve">EX21</t>
  </si>
  <si>
    <t xml:space="preserve">Campana central tipo isla (ver también P1-09)</t>
  </si>
  <si>
    <t xml:space="preserve">EX22</t>
  </si>
  <si>
    <t xml:space="preserve">Aire acondicionado del área de pasapalos</t>
  </si>
  <si>
    <t xml:space="preserve">EX23</t>
  </si>
  <si>
    <t xml:space="preserve">Lámparas fluorescentes estancas</t>
  </si>
  <si>
    <t xml:space="preserve">EX24</t>
  </si>
  <si>
    <t xml:space="preserve">EX25</t>
  </si>
  <si>
    <t xml:space="preserve">EX26</t>
  </si>
  <si>
    <t xml:space="preserve">EX27</t>
  </si>
  <si>
    <t xml:space="preserve">EX28</t>
  </si>
  <si>
    <t xml:space="preserve">EX29</t>
  </si>
  <si>
    <t xml:space="preserve">EX30</t>
  </si>
  <si>
    <t xml:space="preserve">EX31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</si>
</sst>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23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0F223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B3"/>
        <bgColor rgb="FFF3F0C9"/>
      </patternFill>
    </fill>
    <fill>
      <patternFill patternType="solid">
        <fgColor rgb="FFEDEDED"/>
        <bgColor rgb="FFF3F0C9"/>
      </patternFill>
    </fill>
    <fill>
      <patternFill patternType="solid">
        <fgColor rgb="FFF8D7D3"/>
        <bgColor rgb="FFFBE5C8"/>
      </patternFill>
    </fill>
    <fill>
      <patternFill patternType="solid">
        <fgColor rgb="FFFBE5C8"/>
        <bgColor rgb="FFF3F0C9"/>
      </patternFill>
    </fill>
    <fill>
      <patternFill patternType="solid">
        <fgColor rgb="FFF3F0C9"/>
        <bgColor rgb="FFFBE5C8"/>
      </patternFill>
    </fill>
    <fill>
      <patternFill patternType="solid">
        <fgColor rgb="FF1F3A4D"/>
        <bgColor rgb="FF0F22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4D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3F0C9"/>
          <bgColor rgb="FF000000"/>
        </patternFill>
      </fill>
    </dxf>
    <dxf>
      <fill>
        <patternFill patternType="solid">
          <fgColor rgb="FFF8D7D3"/>
          <bgColor rgb="FF000000"/>
        </patternFill>
      </fill>
    </dxf>
    <dxf>
      <fill>
        <patternFill patternType="solid">
          <fgColor rgb="FFFBE5C8"/>
          <bgColor rgb="FF000000"/>
        </patternFill>
      </fill>
    </dxf>
    <dxf>
      <fill>
        <patternFill patternType="solid">
          <fgColor rgb="FFFFF2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B3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BE5C8"/>
      <rgbColor rgb="FFF3F0C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2233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5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6"/>
      <c r="B14" s="4" t="s">
        <v>11</v>
      </c>
    </row>
    <row r="15" customFormat="false" ht="15" hidden="false" customHeight="false" outlineLevel="0" collapsed="false">
      <c r="A15" s="7"/>
      <c r="B15" s="4" t="s">
        <v>12</v>
      </c>
    </row>
    <row r="16" customFormat="false" ht="15" hidden="false" customHeight="false" outlineLevel="0" collapsed="false">
      <c r="A16" s="8"/>
      <c r="B16" s="4" t="s">
        <v>13</v>
      </c>
    </row>
    <row r="17" customFormat="false" ht="15" hidden="false" customHeight="false" outlineLevel="0" collapsed="false">
      <c r="A17" s="9"/>
      <c r="B17" s="4" t="s">
        <v>14</v>
      </c>
    </row>
    <row r="18" customFormat="false" ht="15" hidden="false" customHeight="false" outlineLevel="0" collapsed="false">
      <c r="A18" s="10"/>
      <c r="B18" s="4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5" t="s">
        <v>17</v>
      </c>
      <c r="B21" s="4" t="s">
        <v>18</v>
      </c>
    </row>
    <row r="22" customFormat="false" ht="15" hidden="false" customHeight="false" outlineLevel="0" collapsed="false">
      <c r="A22" s="5" t="s">
        <v>19</v>
      </c>
      <c r="B22" s="4" t="s">
        <v>20</v>
      </c>
    </row>
    <row r="23" customFormat="false" ht="15" hidden="false" customHeight="false" outlineLevel="0" collapsed="false">
      <c r="A23" s="5" t="s">
        <v>21</v>
      </c>
      <c r="B23" s="4" t="s">
        <v>22</v>
      </c>
    </row>
    <row r="24" customFormat="false" ht="15" hidden="false" customHeight="false" outlineLevel="0" collapsed="false">
      <c r="A24" s="5" t="s">
        <v>23</v>
      </c>
      <c r="B24" s="4" t="s">
        <v>24</v>
      </c>
    </row>
    <row r="25" customFormat="false" ht="15" hidden="false" customHeight="false" outlineLevel="0" collapsed="false">
      <c r="A25" s="5" t="s">
        <v>25</v>
      </c>
      <c r="B25" s="4" t="s">
        <v>26</v>
      </c>
    </row>
    <row r="26" customFormat="false" ht="15" hidden="false" customHeight="false" outlineLevel="0" collapsed="false">
      <c r="A26" s="5" t="s">
        <v>27</v>
      </c>
      <c r="B26" s="4" t="s">
        <v>28</v>
      </c>
    </row>
    <row r="28" customFormat="false" ht="15" hidden="false" customHeight="false" outlineLevel="0" collapsed="false">
      <c r="A28" s="3" t="s">
        <v>29</v>
      </c>
    </row>
    <row r="29" customFormat="false" ht="15" hidden="false" customHeight="false" outlineLevel="0" collapsed="false">
      <c r="A29" s="11" t="s">
        <v>30</v>
      </c>
      <c r="B29" s="11" t="s">
        <v>31</v>
      </c>
      <c r="C29" s="11" t="s">
        <v>32</v>
      </c>
      <c r="D29" s="11" t="s">
        <v>33</v>
      </c>
      <c r="E29" s="11" t="s">
        <v>34</v>
      </c>
    </row>
    <row r="30" customFormat="false" ht="15" hidden="false" customHeight="false" outlineLevel="0" collapsed="false">
      <c r="A30" s="12" t="s">
        <v>13</v>
      </c>
      <c r="B30" s="13" t="n">
        <f aca="false">COUNTIFS('1-Checklist'!$B$6:$B$85,"P1")</f>
        <v>36</v>
      </c>
      <c r="C30" s="13" t="n">
        <f aca="false">COUNTIFS('1-Checklist'!$B$6:$B$85,"P1",'1-Checklist'!$K$6:$K$85,"Listo")+COUNTIFS('1-Checklist'!$B$6:$B$85,"P1",'1-Checklist'!$K$6:$K$85,"No aplica")</f>
        <v>0</v>
      </c>
      <c r="D30" s="13" t="n">
        <f aca="false">B30-C30</f>
        <v>36</v>
      </c>
      <c r="E30" s="14" t="n">
        <f aca="false">IF(B30=0,0,C30/B30)</f>
        <v>0</v>
      </c>
    </row>
    <row r="31" customFormat="false" ht="15" hidden="false" customHeight="false" outlineLevel="0" collapsed="false">
      <c r="A31" s="15" t="s">
        <v>14</v>
      </c>
      <c r="B31" s="13" t="n">
        <f aca="false">COUNTIFS('1-Checklist'!$B$6:$B$85,"P2")</f>
        <v>30</v>
      </c>
      <c r="C31" s="13" t="n">
        <f aca="false">COUNTIFS('1-Checklist'!$B$6:$B$85,"P2",'1-Checklist'!$K$6:$K$85,"Listo")+COUNTIFS('1-Checklist'!$B$6:$B$85,"P2",'1-Checklist'!$K$6:$K$85,"No aplica")</f>
        <v>0</v>
      </c>
      <c r="D31" s="13" t="n">
        <f aca="false">B31-C31</f>
        <v>30</v>
      </c>
      <c r="E31" s="14" t="n">
        <f aca="false">IF(B31=0,0,C31/B31)</f>
        <v>0</v>
      </c>
    </row>
    <row r="32" customFormat="false" ht="15" hidden="false" customHeight="false" outlineLevel="0" collapsed="false">
      <c r="A32" s="16" t="s">
        <v>15</v>
      </c>
      <c r="B32" s="13" t="n">
        <f aca="false">COUNTIFS('1-Checklist'!$B$6:$B$85,"P3")</f>
        <v>14</v>
      </c>
      <c r="C32" s="13" t="n">
        <f aca="false">COUNTIFS('1-Checklist'!$B$6:$B$85,"P3",'1-Checklist'!$K$6:$K$85,"Listo")+COUNTIFS('1-Checklist'!$B$6:$B$85,"P3",'1-Checklist'!$K$6:$K$85,"No aplica")</f>
        <v>0</v>
      </c>
      <c r="D32" s="13" t="n">
        <f aca="false">B32-C32</f>
        <v>14</v>
      </c>
      <c r="E32" s="14" t="n">
        <f aca="false">IF(B32=0,0,C32/B32)</f>
        <v>0</v>
      </c>
    </row>
    <row r="33" customFormat="false" ht="15" hidden="false" customHeight="false" outlineLevel="0" collapsed="false">
      <c r="A33" s="17" t="s">
        <v>35</v>
      </c>
      <c r="B33" s="17" t="n">
        <f aca="false">SUM(B30:B32)</f>
        <v>80</v>
      </c>
      <c r="C33" s="17" t="n">
        <f aca="false">SUM(C30:C32)</f>
        <v>0</v>
      </c>
      <c r="D33" s="17" t="n">
        <f aca="false">SUM(D30:D32)</f>
        <v>80</v>
      </c>
      <c r="E33" s="18" t="n">
        <f aca="false">IF(B33=0,0,C33/B33)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38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23.85" hidden="false" customHeight="false" outlineLevel="0" collapsed="false">
      <c r="A4" s="11" t="s">
        <v>38</v>
      </c>
      <c r="B4" s="11" t="s">
        <v>30</v>
      </c>
      <c r="C4" s="11" t="s">
        <v>39</v>
      </c>
      <c r="D4" s="11" t="s">
        <v>40</v>
      </c>
      <c r="E4" s="11" t="s">
        <v>41</v>
      </c>
      <c r="F4" s="11" t="s">
        <v>42</v>
      </c>
      <c r="G4" s="11" t="s">
        <v>43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</row>
    <row r="5" customFormat="false" ht="23.85" hidden="false" customHeight="false" outlineLevel="0" collapsed="false">
      <c r="A5" s="19" t="s">
        <v>49</v>
      </c>
      <c r="B5" s="19" t="s">
        <v>50</v>
      </c>
      <c r="C5" s="19" t="s">
        <v>51</v>
      </c>
      <c r="D5" s="19" t="s">
        <v>52</v>
      </c>
      <c r="E5" s="19" t="s">
        <v>53</v>
      </c>
      <c r="F5" s="19" t="s">
        <v>54</v>
      </c>
      <c r="G5" s="19" t="s">
        <v>55</v>
      </c>
      <c r="H5" s="19" t="s">
        <v>56</v>
      </c>
      <c r="I5" s="19" t="s">
        <v>57</v>
      </c>
      <c r="J5" s="19" t="s">
        <v>58</v>
      </c>
      <c r="K5" s="19" t="s">
        <v>59</v>
      </c>
      <c r="L5" s="19" t="s">
        <v>60</v>
      </c>
    </row>
    <row r="6" customFormat="false" ht="23.85" hidden="false" customHeight="false" outlineLevel="0" collapsed="false">
      <c r="A6" s="20" t="s">
        <v>61</v>
      </c>
      <c r="B6" s="21" t="s">
        <v>50</v>
      </c>
      <c r="C6" s="22" t="s">
        <v>62</v>
      </c>
      <c r="D6" s="22" t="s">
        <v>63</v>
      </c>
      <c r="E6" s="22" t="s">
        <v>64</v>
      </c>
      <c r="F6" s="22" t="s">
        <v>65</v>
      </c>
      <c r="G6" s="23"/>
      <c r="H6" s="23"/>
      <c r="I6" s="23"/>
      <c r="J6" s="23"/>
      <c r="K6" s="23" t="s">
        <v>66</v>
      </c>
      <c r="L6" s="23"/>
    </row>
    <row r="7" customFormat="false" ht="23.85" hidden="false" customHeight="false" outlineLevel="0" collapsed="false">
      <c r="A7" s="20" t="s">
        <v>67</v>
      </c>
      <c r="B7" s="21" t="s">
        <v>50</v>
      </c>
      <c r="C7" s="22" t="s">
        <v>62</v>
      </c>
      <c r="D7" s="22" t="s">
        <v>68</v>
      </c>
      <c r="E7" s="22" t="s">
        <v>69</v>
      </c>
      <c r="F7" s="22" t="s">
        <v>70</v>
      </c>
      <c r="G7" s="23"/>
      <c r="H7" s="23"/>
      <c r="I7" s="23"/>
      <c r="J7" s="23"/>
      <c r="K7" s="23" t="s">
        <v>66</v>
      </c>
      <c r="L7" s="23"/>
    </row>
    <row r="8" customFormat="false" ht="15" hidden="false" customHeight="false" outlineLevel="0" collapsed="false">
      <c r="A8" s="20" t="s">
        <v>71</v>
      </c>
      <c r="B8" s="21" t="s">
        <v>50</v>
      </c>
      <c r="C8" s="22" t="s">
        <v>62</v>
      </c>
      <c r="D8" s="22" t="s">
        <v>72</v>
      </c>
      <c r="E8" s="22" t="s">
        <v>73</v>
      </c>
      <c r="F8" s="22" t="s">
        <v>65</v>
      </c>
      <c r="G8" s="23"/>
      <c r="H8" s="23"/>
      <c r="I8" s="23"/>
      <c r="J8" s="23"/>
      <c r="K8" s="23" t="s">
        <v>66</v>
      </c>
      <c r="L8" s="23"/>
    </row>
    <row r="9" customFormat="false" ht="23.85" hidden="false" customHeight="false" outlineLevel="0" collapsed="false">
      <c r="A9" s="20" t="s">
        <v>74</v>
      </c>
      <c r="B9" s="21" t="s">
        <v>50</v>
      </c>
      <c r="C9" s="22" t="s">
        <v>75</v>
      </c>
      <c r="D9" s="22" t="s">
        <v>76</v>
      </c>
      <c r="E9" s="22" t="s">
        <v>77</v>
      </c>
      <c r="F9" s="22" t="s">
        <v>78</v>
      </c>
      <c r="G9" s="23"/>
      <c r="H9" s="23"/>
      <c r="I9" s="23"/>
      <c r="J9" s="23"/>
      <c r="K9" s="23" t="s">
        <v>66</v>
      </c>
      <c r="L9" s="23"/>
    </row>
    <row r="10" customFormat="false" ht="23.85" hidden="false" customHeight="false" outlineLevel="0" collapsed="false">
      <c r="A10" s="20" t="s">
        <v>79</v>
      </c>
      <c r="B10" s="21" t="s">
        <v>50</v>
      </c>
      <c r="C10" s="22" t="s">
        <v>80</v>
      </c>
      <c r="D10" s="22" t="s">
        <v>81</v>
      </c>
      <c r="E10" s="22" t="s">
        <v>82</v>
      </c>
      <c r="F10" s="22" t="s">
        <v>78</v>
      </c>
      <c r="G10" s="23"/>
      <c r="H10" s="23"/>
      <c r="I10" s="23"/>
      <c r="J10" s="23"/>
      <c r="K10" s="23" t="s">
        <v>66</v>
      </c>
      <c r="L10" s="23"/>
    </row>
    <row r="11" customFormat="false" ht="15" hidden="false" customHeight="false" outlineLevel="0" collapsed="false">
      <c r="A11" s="20" t="s">
        <v>83</v>
      </c>
      <c r="B11" s="21" t="s">
        <v>50</v>
      </c>
      <c r="C11" s="22" t="s">
        <v>80</v>
      </c>
      <c r="D11" s="22" t="s">
        <v>84</v>
      </c>
      <c r="E11" s="22" t="s">
        <v>85</v>
      </c>
      <c r="F11" s="22" t="s">
        <v>78</v>
      </c>
      <c r="G11" s="23"/>
      <c r="H11" s="23"/>
      <c r="I11" s="23"/>
      <c r="J11" s="23"/>
      <c r="K11" s="23" t="s">
        <v>66</v>
      </c>
      <c r="L11" s="23"/>
    </row>
    <row r="12" customFormat="false" ht="15" hidden="false" customHeight="false" outlineLevel="0" collapsed="false">
      <c r="A12" s="20" t="s">
        <v>86</v>
      </c>
      <c r="B12" s="21" t="s">
        <v>50</v>
      </c>
      <c r="C12" s="22" t="s">
        <v>51</v>
      </c>
      <c r="D12" s="22" t="s">
        <v>87</v>
      </c>
      <c r="E12" s="22" t="s">
        <v>88</v>
      </c>
      <c r="F12" s="22" t="s">
        <v>89</v>
      </c>
      <c r="G12" s="23"/>
      <c r="H12" s="23"/>
      <c r="I12" s="23"/>
      <c r="J12" s="23"/>
      <c r="K12" s="23" t="s">
        <v>66</v>
      </c>
      <c r="L12" s="23"/>
    </row>
    <row r="13" customFormat="false" ht="15" hidden="false" customHeight="false" outlineLevel="0" collapsed="false">
      <c r="A13" s="20" t="s">
        <v>90</v>
      </c>
      <c r="B13" s="21" t="s">
        <v>50</v>
      </c>
      <c r="C13" s="22" t="s">
        <v>51</v>
      </c>
      <c r="D13" s="22" t="s">
        <v>91</v>
      </c>
      <c r="E13" s="22" t="s">
        <v>92</v>
      </c>
      <c r="F13" s="22" t="s">
        <v>93</v>
      </c>
      <c r="G13" s="23"/>
      <c r="H13" s="23"/>
      <c r="I13" s="23"/>
      <c r="J13" s="23"/>
      <c r="K13" s="23" t="s">
        <v>66</v>
      </c>
      <c r="L13" s="23"/>
    </row>
    <row r="14" customFormat="false" ht="23.85" hidden="false" customHeight="false" outlineLevel="0" collapsed="false">
      <c r="A14" s="20" t="s">
        <v>94</v>
      </c>
      <c r="B14" s="21" t="s">
        <v>50</v>
      </c>
      <c r="C14" s="22" t="s">
        <v>51</v>
      </c>
      <c r="D14" s="22" t="s">
        <v>95</v>
      </c>
      <c r="E14" s="22" t="s">
        <v>96</v>
      </c>
      <c r="F14" s="22" t="s">
        <v>97</v>
      </c>
      <c r="G14" s="23"/>
      <c r="H14" s="23"/>
      <c r="I14" s="23"/>
      <c r="J14" s="23"/>
      <c r="K14" s="23" t="s">
        <v>66</v>
      </c>
      <c r="L14" s="23"/>
    </row>
    <row r="15" customFormat="false" ht="15" hidden="false" customHeight="false" outlineLevel="0" collapsed="false">
      <c r="A15" s="20" t="s">
        <v>98</v>
      </c>
      <c r="B15" s="21" t="s">
        <v>50</v>
      </c>
      <c r="C15" s="22" t="s">
        <v>51</v>
      </c>
      <c r="D15" s="22" t="s">
        <v>99</v>
      </c>
      <c r="E15" s="22" t="s">
        <v>100</v>
      </c>
      <c r="F15" s="22" t="s">
        <v>54</v>
      </c>
      <c r="G15" s="23"/>
      <c r="H15" s="23"/>
      <c r="I15" s="23"/>
      <c r="J15" s="23"/>
      <c r="K15" s="23" t="s">
        <v>66</v>
      </c>
      <c r="L15" s="23"/>
    </row>
    <row r="16" customFormat="false" ht="23.85" hidden="false" customHeight="false" outlineLevel="0" collapsed="false">
      <c r="A16" s="20" t="s">
        <v>101</v>
      </c>
      <c r="B16" s="21" t="s">
        <v>50</v>
      </c>
      <c r="C16" s="22" t="s">
        <v>51</v>
      </c>
      <c r="D16" s="22" t="s">
        <v>102</v>
      </c>
      <c r="E16" s="22" t="s">
        <v>103</v>
      </c>
      <c r="F16" s="22" t="s">
        <v>104</v>
      </c>
      <c r="G16" s="23"/>
      <c r="H16" s="23"/>
      <c r="I16" s="23"/>
      <c r="J16" s="23"/>
      <c r="K16" s="23" t="s">
        <v>66</v>
      </c>
      <c r="L16" s="23"/>
    </row>
    <row r="17" customFormat="false" ht="15" hidden="false" customHeight="false" outlineLevel="0" collapsed="false">
      <c r="A17" s="20" t="s">
        <v>105</v>
      </c>
      <c r="B17" s="21" t="s">
        <v>50</v>
      </c>
      <c r="C17" s="22" t="s">
        <v>51</v>
      </c>
      <c r="D17" s="22" t="s">
        <v>52</v>
      </c>
      <c r="E17" s="22" t="s">
        <v>53</v>
      </c>
      <c r="F17" s="22" t="s">
        <v>54</v>
      </c>
      <c r="G17" s="23"/>
      <c r="H17" s="23"/>
      <c r="I17" s="23"/>
      <c r="J17" s="23"/>
      <c r="K17" s="23" t="s">
        <v>66</v>
      </c>
      <c r="L17" s="23"/>
    </row>
    <row r="18" customFormat="false" ht="23.85" hidden="false" customHeight="false" outlineLevel="0" collapsed="false">
      <c r="A18" s="20" t="s">
        <v>106</v>
      </c>
      <c r="B18" s="21" t="s">
        <v>50</v>
      </c>
      <c r="C18" s="22" t="s">
        <v>51</v>
      </c>
      <c r="D18" s="22" t="s">
        <v>107</v>
      </c>
      <c r="E18" s="22" t="s">
        <v>108</v>
      </c>
      <c r="F18" s="22" t="s">
        <v>109</v>
      </c>
      <c r="G18" s="23"/>
      <c r="H18" s="23"/>
      <c r="I18" s="23"/>
      <c r="J18" s="23"/>
      <c r="K18" s="23" t="s">
        <v>66</v>
      </c>
      <c r="L18" s="23"/>
    </row>
    <row r="19" customFormat="false" ht="23.85" hidden="false" customHeight="false" outlineLevel="0" collapsed="false">
      <c r="A19" s="20" t="s">
        <v>110</v>
      </c>
      <c r="B19" s="21" t="s">
        <v>50</v>
      </c>
      <c r="C19" s="22" t="s">
        <v>51</v>
      </c>
      <c r="D19" s="22" t="s">
        <v>111</v>
      </c>
      <c r="E19" s="22" t="s">
        <v>112</v>
      </c>
      <c r="F19" s="22" t="s">
        <v>78</v>
      </c>
      <c r="G19" s="23"/>
      <c r="H19" s="23"/>
      <c r="I19" s="23"/>
      <c r="J19" s="23"/>
      <c r="K19" s="23" t="s">
        <v>66</v>
      </c>
      <c r="L19" s="23"/>
    </row>
    <row r="20" customFormat="false" ht="15" hidden="false" customHeight="false" outlineLevel="0" collapsed="false">
      <c r="A20" s="20" t="s">
        <v>113</v>
      </c>
      <c r="B20" s="21" t="s">
        <v>50</v>
      </c>
      <c r="C20" s="22" t="s">
        <v>114</v>
      </c>
      <c r="D20" s="22" t="s">
        <v>115</v>
      </c>
      <c r="E20" s="22" t="s">
        <v>116</v>
      </c>
      <c r="F20" s="22" t="s">
        <v>109</v>
      </c>
      <c r="G20" s="23"/>
      <c r="H20" s="23"/>
      <c r="I20" s="23"/>
      <c r="J20" s="23"/>
      <c r="K20" s="23" t="s">
        <v>66</v>
      </c>
      <c r="L20" s="23"/>
    </row>
    <row r="21" customFormat="false" ht="15" hidden="false" customHeight="false" outlineLevel="0" collapsed="false">
      <c r="A21" s="20" t="s">
        <v>117</v>
      </c>
      <c r="B21" s="21" t="s">
        <v>50</v>
      </c>
      <c r="C21" s="22" t="s">
        <v>114</v>
      </c>
      <c r="D21" s="22" t="s">
        <v>118</v>
      </c>
      <c r="E21" s="22" t="s">
        <v>119</v>
      </c>
      <c r="F21" s="22" t="s">
        <v>93</v>
      </c>
      <c r="G21" s="23"/>
      <c r="H21" s="23"/>
      <c r="I21" s="23"/>
      <c r="J21" s="23"/>
      <c r="K21" s="23" t="s">
        <v>66</v>
      </c>
      <c r="L21" s="23"/>
    </row>
    <row r="22" customFormat="false" ht="15" hidden="false" customHeight="false" outlineLevel="0" collapsed="false">
      <c r="A22" s="20" t="s">
        <v>120</v>
      </c>
      <c r="B22" s="21" t="s">
        <v>50</v>
      </c>
      <c r="C22" s="22" t="s">
        <v>114</v>
      </c>
      <c r="D22" s="22" t="s">
        <v>121</v>
      </c>
      <c r="E22" s="22" t="s">
        <v>122</v>
      </c>
      <c r="F22" s="22" t="s">
        <v>123</v>
      </c>
      <c r="G22" s="23"/>
      <c r="H22" s="23"/>
      <c r="I22" s="23"/>
      <c r="J22" s="23"/>
      <c r="K22" s="23" t="s">
        <v>66</v>
      </c>
      <c r="L22" s="23"/>
    </row>
    <row r="23" customFormat="false" ht="23.85" hidden="false" customHeight="false" outlineLevel="0" collapsed="false">
      <c r="A23" s="20" t="s">
        <v>124</v>
      </c>
      <c r="B23" s="21" t="s">
        <v>50</v>
      </c>
      <c r="C23" s="22" t="s">
        <v>114</v>
      </c>
      <c r="D23" s="22" t="s">
        <v>125</v>
      </c>
      <c r="E23" s="22" t="s">
        <v>126</v>
      </c>
      <c r="F23" s="22" t="s">
        <v>127</v>
      </c>
      <c r="G23" s="23"/>
      <c r="H23" s="23"/>
      <c r="I23" s="23"/>
      <c r="J23" s="23"/>
      <c r="K23" s="23" t="s">
        <v>66</v>
      </c>
      <c r="L23" s="23"/>
    </row>
    <row r="24" customFormat="false" ht="15" hidden="false" customHeight="false" outlineLevel="0" collapsed="false">
      <c r="A24" s="20" t="s">
        <v>128</v>
      </c>
      <c r="B24" s="21" t="s">
        <v>50</v>
      </c>
      <c r="C24" s="22" t="s">
        <v>114</v>
      </c>
      <c r="D24" s="22" t="s">
        <v>129</v>
      </c>
      <c r="E24" s="22" t="s">
        <v>126</v>
      </c>
      <c r="F24" s="22" t="s">
        <v>127</v>
      </c>
      <c r="G24" s="23"/>
      <c r="H24" s="23"/>
      <c r="I24" s="23"/>
      <c r="J24" s="23"/>
      <c r="K24" s="23" t="s">
        <v>66</v>
      </c>
      <c r="L24" s="23"/>
    </row>
    <row r="25" customFormat="false" ht="23.85" hidden="false" customHeight="false" outlineLevel="0" collapsed="false">
      <c r="A25" s="20" t="s">
        <v>130</v>
      </c>
      <c r="B25" s="21" t="s">
        <v>50</v>
      </c>
      <c r="C25" s="22" t="s">
        <v>131</v>
      </c>
      <c r="D25" s="22" t="s">
        <v>132</v>
      </c>
      <c r="E25" s="22" t="s">
        <v>133</v>
      </c>
      <c r="F25" s="22" t="s">
        <v>134</v>
      </c>
      <c r="G25" s="23"/>
      <c r="H25" s="23"/>
      <c r="I25" s="23"/>
      <c r="J25" s="23"/>
      <c r="K25" s="23" t="s">
        <v>66</v>
      </c>
      <c r="L25" s="23"/>
    </row>
    <row r="26" customFormat="false" ht="46.25" hidden="false" customHeight="false" outlineLevel="0" collapsed="false">
      <c r="A26" s="20" t="s">
        <v>135</v>
      </c>
      <c r="B26" s="21" t="s">
        <v>50</v>
      </c>
      <c r="C26" s="22" t="s">
        <v>136</v>
      </c>
      <c r="D26" s="22" t="s">
        <v>137</v>
      </c>
      <c r="E26" s="22" t="s">
        <v>138</v>
      </c>
      <c r="F26" s="22" t="s">
        <v>139</v>
      </c>
      <c r="G26" s="23"/>
      <c r="H26" s="23"/>
      <c r="I26" s="23"/>
      <c r="J26" s="23"/>
      <c r="K26" s="23" t="s">
        <v>66</v>
      </c>
      <c r="L26" s="23"/>
    </row>
    <row r="27" customFormat="false" ht="15" hidden="false" customHeight="false" outlineLevel="0" collapsed="false">
      <c r="A27" s="20" t="s">
        <v>140</v>
      </c>
      <c r="B27" s="21" t="s">
        <v>50</v>
      </c>
      <c r="C27" s="22" t="s">
        <v>136</v>
      </c>
      <c r="D27" s="22" t="s">
        <v>141</v>
      </c>
      <c r="E27" s="22" t="s">
        <v>142</v>
      </c>
      <c r="F27" s="22" t="s">
        <v>143</v>
      </c>
      <c r="G27" s="23"/>
      <c r="H27" s="23"/>
      <c r="I27" s="23"/>
      <c r="J27" s="23"/>
      <c r="K27" s="23" t="s">
        <v>66</v>
      </c>
      <c r="L27" s="23"/>
    </row>
    <row r="28" customFormat="false" ht="15" hidden="false" customHeight="false" outlineLevel="0" collapsed="false">
      <c r="A28" s="20" t="s">
        <v>144</v>
      </c>
      <c r="B28" s="21" t="s">
        <v>50</v>
      </c>
      <c r="C28" s="22" t="s">
        <v>136</v>
      </c>
      <c r="D28" s="22" t="s">
        <v>145</v>
      </c>
      <c r="E28" s="22" t="s">
        <v>146</v>
      </c>
      <c r="F28" s="22" t="s">
        <v>127</v>
      </c>
      <c r="G28" s="23"/>
      <c r="H28" s="23"/>
      <c r="I28" s="23"/>
      <c r="J28" s="23"/>
      <c r="K28" s="23" t="s">
        <v>66</v>
      </c>
      <c r="L28" s="23"/>
    </row>
    <row r="29" customFormat="false" ht="23.85" hidden="false" customHeight="false" outlineLevel="0" collapsed="false">
      <c r="A29" s="20" t="s">
        <v>147</v>
      </c>
      <c r="B29" s="21" t="s">
        <v>50</v>
      </c>
      <c r="C29" s="22" t="s">
        <v>136</v>
      </c>
      <c r="D29" s="22" t="s">
        <v>148</v>
      </c>
      <c r="E29" s="22" t="s">
        <v>149</v>
      </c>
      <c r="F29" s="22" t="s">
        <v>150</v>
      </c>
      <c r="G29" s="23"/>
      <c r="H29" s="23"/>
      <c r="I29" s="23"/>
      <c r="J29" s="23"/>
      <c r="K29" s="23" t="s">
        <v>66</v>
      </c>
      <c r="L29" s="23"/>
    </row>
    <row r="30" customFormat="false" ht="23.85" hidden="false" customHeight="false" outlineLevel="0" collapsed="false">
      <c r="A30" s="20" t="s">
        <v>151</v>
      </c>
      <c r="B30" s="21" t="s">
        <v>50</v>
      </c>
      <c r="C30" s="22" t="s">
        <v>136</v>
      </c>
      <c r="D30" s="22" t="s">
        <v>152</v>
      </c>
      <c r="E30" s="22" t="s">
        <v>153</v>
      </c>
      <c r="F30" s="22" t="s">
        <v>154</v>
      </c>
      <c r="G30" s="23"/>
      <c r="H30" s="23"/>
      <c r="I30" s="23"/>
      <c r="J30" s="23"/>
      <c r="K30" s="23" t="s">
        <v>66</v>
      </c>
      <c r="L30" s="23"/>
    </row>
    <row r="31" customFormat="false" ht="15" hidden="false" customHeight="false" outlineLevel="0" collapsed="false">
      <c r="A31" s="20" t="s">
        <v>155</v>
      </c>
      <c r="B31" s="21" t="s">
        <v>50</v>
      </c>
      <c r="C31" s="22" t="s">
        <v>156</v>
      </c>
      <c r="D31" s="22" t="s">
        <v>157</v>
      </c>
      <c r="E31" s="22" t="s">
        <v>158</v>
      </c>
      <c r="F31" s="22" t="s">
        <v>159</v>
      </c>
      <c r="G31" s="23"/>
      <c r="H31" s="23"/>
      <c r="I31" s="23"/>
      <c r="J31" s="23"/>
      <c r="K31" s="23" t="s">
        <v>66</v>
      </c>
      <c r="L31" s="23"/>
    </row>
    <row r="32" customFormat="false" ht="23.85" hidden="false" customHeight="false" outlineLevel="0" collapsed="false">
      <c r="A32" s="20" t="s">
        <v>160</v>
      </c>
      <c r="B32" s="21" t="s">
        <v>50</v>
      </c>
      <c r="C32" s="22" t="s">
        <v>156</v>
      </c>
      <c r="D32" s="22" t="s">
        <v>161</v>
      </c>
      <c r="E32" s="22" t="s">
        <v>162</v>
      </c>
      <c r="F32" s="22" t="s">
        <v>127</v>
      </c>
      <c r="G32" s="23"/>
      <c r="H32" s="23"/>
      <c r="I32" s="23"/>
      <c r="J32" s="23"/>
      <c r="K32" s="23" t="s">
        <v>66</v>
      </c>
      <c r="L32" s="23"/>
    </row>
    <row r="33" customFormat="false" ht="23.85" hidden="false" customHeight="false" outlineLevel="0" collapsed="false">
      <c r="A33" s="20" t="s">
        <v>163</v>
      </c>
      <c r="B33" s="21" t="s">
        <v>50</v>
      </c>
      <c r="C33" s="22" t="s">
        <v>156</v>
      </c>
      <c r="D33" s="22" t="s">
        <v>164</v>
      </c>
      <c r="E33" s="22" t="s">
        <v>165</v>
      </c>
      <c r="F33" s="22" t="s">
        <v>166</v>
      </c>
      <c r="G33" s="23"/>
      <c r="H33" s="23"/>
      <c r="I33" s="23"/>
      <c r="J33" s="23"/>
      <c r="K33" s="23" t="s">
        <v>66</v>
      </c>
      <c r="L33" s="23"/>
    </row>
    <row r="34" customFormat="false" ht="15" hidden="false" customHeight="false" outlineLevel="0" collapsed="false">
      <c r="A34" s="20" t="s">
        <v>167</v>
      </c>
      <c r="B34" s="21" t="s">
        <v>50</v>
      </c>
      <c r="C34" s="22" t="s">
        <v>156</v>
      </c>
      <c r="D34" s="22" t="s">
        <v>168</v>
      </c>
      <c r="E34" s="22" t="s">
        <v>169</v>
      </c>
      <c r="F34" s="22" t="s">
        <v>170</v>
      </c>
      <c r="G34" s="23"/>
      <c r="H34" s="23"/>
      <c r="I34" s="23"/>
      <c r="J34" s="23"/>
      <c r="K34" s="23" t="s">
        <v>66</v>
      </c>
      <c r="L34" s="23"/>
    </row>
    <row r="35" customFormat="false" ht="15" hidden="false" customHeight="false" outlineLevel="0" collapsed="false">
      <c r="A35" s="20" t="s">
        <v>171</v>
      </c>
      <c r="B35" s="21" t="s">
        <v>50</v>
      </c>
      <c r="C35" s="22" t="s">
        <v>156</v>
      </c>
      <c r="D35" s="22" t="s">
        <v>172</v>
      </c>
      <c r="E35" s="22" t="s">
        <v>173</v>
      </c>
      <c r="F35" s="22" t="s">
        <v>127</v>
      </c>
      <c r="G35" s="23"/>
      <c r="H35" s="23"/>
      <c r="I35" s="23"/>
      <c r="J35" s="23"/>
      <c r="K35" s="23" t="s">
        <v>66</v>
      </c>
      <c r="L35" s="23"/>
    </row>
    <row r="36" customFormat="false" ht="23.85" hidden="false" customHeight="false" outlineLevel="0" collapsed="false">
      <c r="A36" s="20" t="s">
        <v>174</v>
      </c>
      <c r="B36" s="21" t="s">
        <v>50</v>
      </c>
      <c r="C36" s="22" t="s">
        <v>156</v>
      </c>
      <c r="D36" s="22" t="s">
        <v>175</v>
      </c>
      <c r="E36" s="22" t="s">
        <v>158</v>
      </c>
      <c r="F36" s="22" t="s">
        <v>78</v>
      </c>
      <c r="G36" s="23"/>
      <c r="H36" s="23"/>
      <c r="I36" s="23"/>
      <c r="J36" s="23"/>
      <c r="K36" s="23" t="s">
        <v>66</v>
      </c>
      <c r="L36" s="23"/>
    </row>
    <row r="37" customFormat="false" ht="23.85" hidden="false" customHeight="false" outlineLevel="0" collapsed="false">
      <c r="A37" s="20" t="s">
        <v>176</v>
      </c>
      <c r="B37" s="21" t="s">
        <v>50</v>
      </c>
      <c r="C37" s="22" t="s">
        <v>177</v>
      </c>
      <c r="D37" s="22" t="s">
        <v>178</v>
      </c>
      <c r="E37" s="22" t="s">
        <v>179</v>
      </c>
      <c r="F37" s="22" t="s">
        <v>97</v>
      </c>
      <c r="G37" s="23"/>
      <c r="H37" s="23"/>
      <c r="I37" s="23"/>
      <c r="J37" s="23"/>
      <c r="K37" s="23" t="s">
        <v>66</v>
      </c>
      <c r="L37" s="23"/>
    </row>
    <row r="38" customFormat="false" ht="15" hidden="false" customHeight="false" outlineLevel="0" collapsed="false">
      <c r="A38" s="20" t="s">
        <v>180</v>
      </c>
      <c r="B38" s="21" t="s">
        <v>50</v>
      </c>
      <c r="C38" s="22" t="s">
        <v>177</v>
      </c>
      <c r="D38" s="22" t="s">
        <v>181</v>
      </c>
      <c r="E38" s="22" t="s">
        <v>182</v>
      </c>
      <c r="F38" s="22" t="s">
        <v>183</v>
      </c>
      <c r="G38" s="23"/>
      <c r="H38" s="23"/>
      <c r="I38" s="23"/>
      <c r="J38" s="23"/>
      <c r="K38" s="23" t="s">
        <v>66</v>
      </c>
      <c r="L38" s="23"/>
    </row>
    <row r="39" customFormat="false" ht="23.85" hidden="false" customHeight="false" outlineLevel="0" collapsed="false">
      <c r="A39" s="20" t="s">
        <v>184</v>
      </c>
      <c r="B39" s="21" t="s">
        <v>50</v>
      </c>
      <c r="C39" s="22" t="s">
        <v>177</v>
      </c>
      <c r="D39" s="22" t="s">
        <v>185</v>
      </c>
      <c r="E39" s="22" t="s">
        <v>186</v>
      </c>
      <c r="F39" s="22" t="s">
        <v>154</v>
      </c>
      <c r="G39" s="23"/>
      <c r="H39" s="23"/>
      <c r="I39" s="23"/>
      <c r="J39" s="23"/>
      <c r="K39" s="23" t="s">
        <v>66</v>
      </c>
      <c r="L39" s="23"/>
    </row>
    <row r="40" customFormat="false" ht="23.85" hidden="false" customHeight="false" outlineLevel="0" collapsed="false">
      <c r="A40" s="20" t="s">
        <v>187</v>
      </c>
      <c r="B40" s="21" t="s">
        <v>50</v>
      </c>
      <c r="C40" s="22" t="s">
        <v>177</v>
      </c>
      <c r="D40" s="22" t="s">
        <v>188</v>
      </c>
      <c r="E40" s="22" t="s">
        <v>189</v>
      </c>
      <c r="F40" s="22" t="s">
        <v>78</v>
      </c>
      <c r="G40" s="23"/>
      <c r="H40" s="23"/>
      <c r="I40" s="23"/>
      <c r="J40" s="23"/>
      <c r="K40" s="23" t="s">
        <v>66</v>
      </c>
      <c r="L40" s="23"/>
    </row>
    <row r="41" customFormat="false" ht="23.85" hidden="false" customHeight="false" outlineLevel="0" collapsed="false">
      <c r="A41" s="20" t="s">
        <v>190</v>
      </c>
      <c r="B41" s="21" t="s">
        <v>50</v>
      </c>
      <c r="C41" s="22" t="s">
        <v>62</v>
      </c>
      <c r="D41" s="22" t="s">
        <v>191</v>
      </c>
      <c r="E41" s="22" t="s">
        <v>192</v>
      </c>
      <c r="F41" s="22" t="s">
        <v>193</v>
      </c>
      <c r="G41" s="23"/>
      <c r="H41" s="23"/>
      <c r="I41" s="23"/>
      <c r="J41" s="23"/>
      <c r="K41" s="23" t="s">
        <v>66</v>
      </c>
      <c r="L41" s="23"/>
    </row>
    <row r="42" customFormat="false" ht="15" hidden="false" customHeight="false" outlineLevel="0" collapsed="false">
      <c r="A42" s="20" t="s">
        <v>194</v>
      </c>
      <c r="B42" s="24" t="s">
        <v>195</v>
      </c>
      <c r="C42" s="22" t="s">
        <v>196</v>
      </c>
      <c r="D42" s="22" t="s">
        <v>197</v>
      </c>
      <c r="E42" s="22" t="s">
        <v>198</v>
      </c>
      <c r="F42" s="22" t="s">
        <v>65</v>
      </c>
      <c r="G42" s="23"/>
      <c r="H42" s="23"/>
      <c r="I42" s="23"/>
      <c r="J42" s="23"/>
      <c r="K42" s="23" t="s">
        <v>66</v>
      </c>
      <c r="L42" s="23"/>
    </row>
    <row r="43" customFormat="false" ht="23.85" hidden="false" customHeight="false" outlineLevel="0" collapsed="false">
      <c r="A43" s="20" t="s">
        <v>199</v>
      </c>
      <c r="B43" s="24" t="s">
        <v>195</v>
      </c>
      <c r="C43" s="22" t="s">
        <v>196</v>
      </c>
      <c r="D43" s="22" t="s">
        <v>200</v>
      </c>
      <c r="E43" s="22" t="s">
        <v>192</v>
      </c>
      <c r="F43" s="22" t="s">
        <v>201</v>
      </c>
      <c r="G43" s="23"/>
      <c r="H43" s="23"/>
      <c r="I43" s="23"/>
      <c r="J43" s="23"/>
      <c r="K43" s="23" t="s">
        <v>66</v>
      </c>
      <c r="L43" s="23"/>
    </row>
    <row r="44" customFormat="false" ht="15" hidden="false" customHeight="false" outlineLevel="0" collapsed="false">
      <c r="A44" s="20" t="s">
        <v>202</v>
      </c>
      <c r="B44" s="24" t="s">
        <v>195</v>
      </c>
      <c r="C44" s="22" t="s">
        <v>196</v>
      </c>
      <c r="D44" s="22" t="s">
        <v>203</v>
      </c>
      <c r="E44" s="22" t="s">
        <v>204</v>
      </c>
      <c r="F44" s="22" t="s">
        <v>205</v>
      </c>
      <c r="G44" s="23"/>
      <c r="H44" s="23"/>
      <c r="I44" s="23"/>
      <c r="J44" s="23"/>
      <c r="K44" s="23" t="s">
        <v>66</v>
      </c>
      <c r="L44" s="23"/>
    </row>
    <row r="45" customFormat="false" ht="15" hidden="false" customHeight="false" outlineLevel="0" collapsed="false">
      <c r="A45" s="20" t="s">
        <v>206</v>
      </c>
      <c r="B45" s="24" t="s">
        <v>195</v>
      </c>
      <c r="C45" s="22" t="s">
        <v>196</v>
      </c>
      <c r="D45" s="22" t="s">
        <v>207</v>
      </c>
      <c r="E45" s="22" t="s">
        <v>192</v>
      </c>
      <c r="F45" s="22" t="s">
        <v>208</v>
      </c>
      <c r="G45" s="23"/>
      <c r="H45" s="23"/>
      <c r="I45" s="23"/>
      <c r="J45" s="23"/>
      <c r="K45" s="23" t="s">
        <v>66</v>
      </c>
      <c r="L45" s="23"/>
    </row>
    <row r="46" customFormat="false" ht="23.85" hidden="false" customHeight="false" outlineLevel="0" collapsed="false">
      <c r="A46" s="20" t="s">
        <v>209</v>
      </c>
      <c r="B46" s="24" t="s">
        <v>195</v>
      </c>
      <c r="C46" s="22" t="s">
        <v>196</v>
      </c>
      <c r="D46" s="22" t="s">
        <v>210</v>
      </c>
      <c r="E46" s="22" t="s">
        <v>211</v>
      </c>
      <c r="F46" s="22" t="s">
        <v>212</v>
      </c>
      <c r="G46" s="23"/>
      <c r="H46" s="23"/>
      <c r="I46" s="23"/>
      <c r="J46" s="23"/>
      <c r="K46" s="23" t="s">
        <v>66</v>
      </c>
      <c r="L46" s="23"/>
    </row>
    <row r="47" customFormat="false" ht="23.85" hidden="false" customHeight="false" outlineLevel="0" collapsed="false">
      <c r="A47" s="20" t="s">
        <v>213</v>
      </c>
      <c r="B47" s="24" t="s">
        <v>195</v>
      </c>
      <c r="C47" s="22" t="s">
        <v>196</v>
      </c>
      <c r="D47" s="22" t="s">
        <v>214</v>
      </c>
      <c r="E47" s="22" t="s">
        <v>192</v>
      </c>
      <c r="F47" s="22" t="s">
        <v>78</v>
      </c>
      <c r="G47" s="23"/>
      <c r="H47" s="23"/>
      <c r="I47" s="23"/>
      <c r="J47" s="23"/>
      <c r="K47" s="23" t="s">
        <v>66</v>
      </c>
      <c r="L47" s="23"/>
    </row>
    <row r="48" customFormat="false" ht="23.85" hidden="false" customHeight="false" outlineLevel="0" collapsed="false">
      <c r="A48" s="20" t="s">
        <v>215</v>
      </c>
      <c r="B48" s="24" t="s">
        <v>195</v>
      </c>
      <c r="C48" s="22" t="s">
        <v>196</v>
      </c>
      <c r="D48" s="22" t="s">
        <v>216</v>
      </c>
      <c r="E48" s="22" t="s">
        <v>217</v>
      </c>
      <c r="F48" s="22" t="s">
        <v>65</v>
      </c>
      <c r="G48" s="23"/>
      <c r="H48" s="23"/>
      <c r="I48" s="23"/>
      <c r="J48" s="23"/>
      <c r="K48" s="23" t="s">
        <v>66</v>
      </c>
      <c r="L48" s="23"/>
    </row>
    <row r="49" customFormat="false" ht="15" hidden="false" customHeight="false" outlineLevel="0" collapsed="false">
      <c r="A49" s="20" t="s">
        <v>218</v>
      </c>
      <c r="B49" s="24" t="s">
        <v>195</v>
      </c>
      <c r="C49" s="22" t="s">
        <v>196</v>
      </c>
      <c r="D49" s="22" t="s">
        <v>219</v>
      </c>
      <c r="E49" s="22" t="s">
        <v>220</v>
      </c>
      <c r="F49" s="22" t="s">
        <v>221</v>
      </c>
      <c r="G49" s="23"/>
      <c r="H49" s="23"/>
      <c r="I49" s="23"/>
      <c r="J49" s="23"/>
      <c r="K49" s="23" t="s">
        <v>66</v>
      </c>
      <c r="L49" s="23"/>
    </row>
    <row r="50" customFormat="false" ht="15" hidden="false" customHeight="false" outlineLevel="0" collapsed="false">
      <c r="A50" s="20" t="s">
        <v>222</v>
      </c>
      <c r="B50" s="24" t="s">
        <v>195</v>
      </c>
      <c r="C50" s="22" t="s">
        <v>196</v>
      </c>
      <c r="D50" s="22" t="s">
        <v>223</v>
      </c>
      <c r="E50" s="22" t="s">
        <v>224</v>
      </c>
      <c r="F50" s="22" t="s">
        <v>225</v>
      </c>
      <c r="G50" s="23"/>
      <c r="H50" s="23"/>
      <c r="I50" s="23"/>
      <c r="J50" s="23"/>
      <c r="K50" s="23" t="s">
        <v>66</v>
      </c>
      <c r="L50" s="23"/>
    </row>
    <row r="51" customFormat="false" ht="15" hidden="false" customHeight="false" outlineLevel="0" collapsed="false">
      <c r="A51" s="20" t="s">
        <v>226</v>
      </c>
      <c r="B51" s="24" t="s">
        <v>195</v>
      </c>
      <c r="C51" s="22" t="s">
        <v>196</v>
      </c>
      <c r="D51" s="22" t="s">
        <v>227</v>
      </c>
      <c r="E51" s="22" t="s">
        <v>198</v>
      </c>
      <c r="F51" s="22" t="s">
        <v>65</v>
      </c>
      <c r="G51" s="23"/>
      <c r="H51" s="23"/>
      <c r="I51" s="23"/>
      <c r="J51" s="23"/>
      <c r="K51" s="23" t="s">
        <v>66</v>
      </c>
      <c r="L51" s="23"/>
    </row>
    <row r="52" customFormat="false" ht="23.85" hidden="false" customHeight="false" outlineLevel="0" collapsed="false">
      <c r="A52" s="20" t="s">
        <v>228</v>
      </c>
      <c r="B52" s="24" t="s">
        <v>195</v>
      </c>
      <c r="C52" s="22" t="s">
        <v>196</v>
      </c>
      <c r="D52" s="22" t="s">
        <v>229</v>
      </c>
      <c r="E52" s="22" t="s">
        <v>192</v>
      </c>
      <c r="F52" s="22" t="s">
        <v>230</v>
      </c>
      <c r="G52" s="23"/>
      <c r="H52" s="23"/>
      <c r="I52" s="23"/>
      <c r="J52" s="23"/>
      <c r="K52" s="23" t="s">
        <v>66</v>
      </c>
      <c r="L52" s="23"/>
    </row>
    <row r="53" customFormat="false" ht="23.85" hidden="false" customHeight="false" outlineLevel="0" collapsed="false">
      <c r="A53" s="20" t="s">
        <v>231</v>
      </c>
      <c r="B53" s="24" t="s">
        <v>195</v>
      </c>
      <c r="C53" s="22" t="s">
        <v>196</v>
      </c>
      <c r="D53" s="22" t="s">
        <v>232</v>
      </c>
      <c r="E53" s="22" t="s">
        <v>233</v>
      </c>
      <c r="F53" s="22" t="s">
        <v>78</v>
      </c>
      <c r="G53" s="23"/>
      <c r="H53" s="23"/>
      <c r="I53" s="23"/>
      <c r="J53" s="23"/>
      <c r="K53" s="23" t="s">
        <v>66</v>
      </c>
      <c r="L53" s="23"/>
    </row>
    <row r="54" customFormat="false" ht="15" hidden="false" customHeight="false" outlineLevel="0" collapsed="false">
      <c r="A54" s="20" t="s">
        <v>234</v>
      </c>
      <c r="B54" s="24" t="s">
        <v>195</v>
      </c>
      <c r="C54" s="22" t="s">
        <v>196</v>
      </c>
      <c r="D54" s="22" t="s">
        <v>235</v>
      </c>
      <c r="E54" s="22" t="s">
        <v>192</v>
      </c>
      <c r="F54" s="22" t="s">
        <v>236</v>
      </c>
      <c r="G54" s="23"/>
      <c r="H54" s="23"/>
      <c r="I54" s="23"/>
      <c r="J54" s="23"/>
      <c r="K54" s="23" t="s">
        <v>66</v>
      </c>
      <c r="L54" s="23"/>
    </row>
    <row r="55" customFormat="false" ht="15" hidden="false" customHeight="false" outlineLevel="0" collapsed="false">
      <c r="A55" s="20" t="s">
        <v>237</v>
      </c>
      <c r="B55" s="24" t="s">
        <v>195</v>
      </c>
      <c r="C55" s="22" t="s">
        <v>196</v>
      </c>
      <c r="D55" s="22" t="s">
        <v>238</v>
      </c>
      <c r="E55" s="22" t="s">
        <v>192</v>
      </c>
      <c r="F55" s="22" t="s">
        <v>239</v>
      </c>
      <c r="G55" s="23"/>
      <c r="H55" s="23"/>
      <c r="I55" s="23"/>
      <c r="J55" s="23"/>
      <c r="K55" s="23" t="s">
        <v>66</v>
      </c>
      <c r="L55" s="23"/>
    </row>
    <row r="56" customFormat="false" ht="15" hidden="false" customHeight="false" outlineLevel="0" collapsed="false">
      <c r="A56" s="20" t="s">
        <v>240</v>
      </c>
      <c r="B56" s="24" t="s">
        <v>195</v>
      </c>
      <c r="C56" s="22" t="s">
        <v>196</v>
      </c>
      <c r="D56" s="22" t="s">
        <v>241</v>
      </c>
      <c r="E56" s="22" t="s">
        <v>192</v>
      </c>
      <c r="F56" s="22" t="s">
        <v>239</v>
      </c>
      <c r="G56" s="23"/>
      <c r="H56" s="23"/>
      <c r="I56" s="23"/>
      <c r="J56" s="23"/>
      <c r="K56" s="23" t="s">
        <v>66</v>
      </c>
      <c r="L56" s="23"/>
    </row>
    <row r="57" customFormat="false" ht="15" hidden="false" customHeight="false" outlineLevel="0" collapsed="false">
      <c r="A57" s="20" t="s">
        <v>242</v>
      </c>
      <c r="B57" s="24" t="s">
        <v>195</v>
      </c>
      <c r="C57" s="22" t="s">
        <v>196</v>
      </c>
      <c r="D57" s="22" t="s">
        <v>243</v>
      </c>
      <c r="E57" s="22" t="s">
        <v>244</v>
      </c>
      <c r="F57" s="22" t="s">
        <v>78</v>
      </c>
      <c r="G57" s="23"/>
      <c r="H57" s="23"/>
      <c r="I57" s="23"/>
      <c r="J57" s="23"/>
      <c r="K57" s="23" t="s">
        <v>66</v>
      </c>
      <c r="L57" s="23"/>
    </row>
    <row r="58" customFormat="false" ht="15" hidden="false" customHeight="false" outlineLevel="0" collapsed="false">
      <c r="A58" s="20" t="s">
        <v>245</v>
      </c>
      <c r="B58" s="24" t="s">
        <v>195</v>
      </c>
      <c r="C58" s="22" t="s">
        <v>196</v>
      </c>
      <c r="D58" s="22" t="s">
        <v>246</v>
      </c>
      <c r="E58" s="22" t="s">
        <v>244</v>
      </c>
      <c r="F58" s="22" t="s">
        <v>78</v>
      </c>
      <c r="G58" s="23"/>
      <c r="H58" s="23"/>
      <c r="I58" s="23"/>
      <c r="J58" s="23"/>
      <c r="K58" s="23" t="s">
        <v>66</v>
      </c>
      <c r="L58" s="23"/>
    </row>
    <row r="59" customFormat="false" ht="23.85" hidden="false" customHeight="false" outlineLevel="0" collapsed="false">
      <c r="A59" s="20" t="s">
        <v>247</v>
      </c>
      <c r="B59" s="24" t="s">
        <v>195</v>
      </c>
      <c r="C59" s="22" t="s">
        <v>75</v>
      </c>
      <c r="D59" s="22" t="s">
        <v>248</v>
      </c>
      <c r="E59" s="22" t="s">
        <v>249</v>
      </c>
      <c r="F59" s="22" t="s">
        <v>250</v>
      </c>
      <c r="G59" s="23"/>
      <c r="H59" s="23"/>
      <c r="I59" s="23"/>
      <c r="J59" s="23"/>
      <c r="K59" s="23" t="s">
        <v>66</v>
      </c>
      <c r="L59" s="23"/>
    </row>
    <row r="60" customFormat="false" ht="15" hidden="false" customHeight="false" outlineLevel="0" collapsed="false">
      <c r="A60" s="20" t="s">
        <v>251</v>
      </c>
      <c r="B60" s="24" t="s">
        <v>195</v>
      </c>
      <c r="C60" s="22" t="s">
        <v>75</v>
      </c>
      <c r="D60" s="22" t="s">
        <v>252</v>
      </c>
      <c r="E60" s="22" t="s">
        <v>253</v>
      </c>
      <c r="F60" s="22" t="s">
        <v>254</v>
      </c>
      <c r="G60" s="23"/>
      <c r="H60" s="23"/>
      <c r="I60" s="23"/>
      <c r="J60" s="23"/>
      <c r="K60" s="23" t="s">
        <v>66</v>
      </c>
      <c r="L60" s="23"/>
    </row>
    <row r="61" customFormat="false" ht="15" hidden="false" customHeight="false" outlineLevel="0" collapsed="false">
      <c r="A61" s="20" t="s">
        <v>255</v>
      </c>
      <c r="B61" s="24" t="s">
        <v>195</v>
      </c>
      <c r="C61" s="22" t="s">
        <v>75</v>
      </c>
      <c r="D61" s="22" t="s">
        <v>256</v>
      </c>
      <c r="E61" s="22" t="s">
        <v>192</v>
      </c>
      <c r="F61" s="22" t="s">
        <v>257</v>
      </c>
      <c r="G61" s="23"/>
      <c r="H61" s="23"/>
      <c r="I61" s="23"/>
      <c r="J61" s="23"/>
      <c r="K61" s="23" t="s">
        <v>66</v>
      </c>
      <c r="L61" s="23"/>
    </row>
    <row r="62" customFormat="false" ht="23.85" hidden="false" customHeight="false" outlineLevel="0" collapsed="false">
      <c r="A62" s="20" t="s">
        <v>258</v>
      </c>
      <c r="B62" s="24" t="s">
        <v>195</v>
      </c>
      <c r="C62" s="22" t="s">
        <v>75</v>
      </c>
      <c r="D62" s="22" t="s">
        <v>259</v>
      </c>
      <c r="E62" s="22" t="s">
        <v>260</v>
      </c>
      <c r="F62" s="22" t="s">
        <v>261</v>
      </c>
      <c r="G62" s="23"/>
      <c r="H62" s="23"/>
      <c r="I62" s="23"/>
      <c r="J62" s="23"/>
      <c r="K62" s="23" t="s">
        <v>66</v>
      </c>
      <c r="L62" s="23"/>
    </row>
    <row r="63" customFormat="false" ht="15" hidden="false" customHeight="false" outlineLevel="0" collapsed="false">
      <c r="A63" s="20" t="s">
        <v>262</v>
      </c>
      <c r="B63" s="24" t="s">
        <v>195</v>
      </c>
      <c r="C63" s="22" t="s">
        <v>75</v>
      </c>
      <c r="D63" s="22" t="s">
        <v>263</v>
      </c>
      <c r="E63" s="22" t="s">
        <v>192</v>
      </c>
      <c r="F63" s="22" t="s">
        <v>264</v>
      </c>
      <c r="G63" s="23"/>
      <c r="H63" s="23"/>
      <c r="I63" s="23"/>
      <c r="J63" s="23"/>
      <c r="K63" s="23" t="s">
        <v>66</v>
      </c>
      <c r="L63" s="23"/>
    </row>
    <row r="64" customFormat="false" ht="23.85" hidden="false" customHeight="false" outlineLevel="0" collapsed="false">
      <c r="A64" s="20" t="s">
        <v>265</v>
      </c>
      <c r="B64" s="24" t="s">
        <v>195</v>
      </c>
      <c r="C64" s="22" t="s">
        <v>196</v>
      </c>
      <c r="D64" s="22" t="s">
        <v>266</v>
      </c>
      <c r="E64" s="22" t="s">
        <v>192</v>
      </c>
      <c r="F64" s="22" t="s">
        <v>78</v>
      </c>
      <c r="G64" s="23"/>
      <c r="H64" s="23"/>
      <c r="I64" s="23"/>
      <c r="J64" s="23"/>
      <c r="K64" s="23" t="s">
        <v>66</v>
      </c>
      <c r="L64" s="23"/>
    </row>
    <row r="65" customFormat="false" ht="23.85" hidden="false" customHeight="false" outlineLevel="0" collapsed="false">
      <c r="A65" s="20" t="s">
        <v>267</v>
      </c>
      <c r="B65" s="24" t="s">
        <v>195</v>
      </c>
      <c r="C65" s="22" t="s">
        <v>196</v>
      </c>
      <c r="D65" s="22" t="s">
        <v>268</v>
      </c>
      <c r="E65" s="22" t="s">
        <v>192</v>
      </c>
      <c r="F65" s="22" t="s">
        <v>78</v>
      </c>
      <c r="G65" s="23"/>
      <c r="H65" s="23"/>
      <c r="I65" s="23"/>
      <c r="J65" s="23"/>
      <c r="K65" s="23" t="s">
        <v>66</v>
      </c>
      <c r="L65" s="23"/>
    </row>
    <row r="66" customFormat="false" ht="23.85" hidden="false" customHeight="false" outlineLevel="0" collapsed="false">
      <c r="A66" s="20" t="s">
        <v>269</v>
      </c>
      <c r="B66" s="24" t="s">
        <v>195</v>
      </c>
      <c r="C66" s="22" t="s">
        <v>196</v>
      </c>
      <c r="D66" s="22" t="s">
        <v>270</v>
      </c>
      <c r="E66" s="22" t="s">
        <v>192</v>
      </c>
      <c r="F66" s="22" t="s">
        <v>78</v>
      </c>
      <c r="G66" s="23"/>
      <c r="H66" s="23"/>
      <c r="I66" s="23"/>
      <c r="J66" s="23"/>
      <c r="K66" s="23" t="s">
        <v>66</v>
      </c>
      <c r="L66" s="23"/>
    </row>
    <row r="67" customFormat="false" ht="15" hidden="false" customHeight="false" outlineLevel="0" collapsed="false">
      <c r="A67" s="20" t="s">
        <v>271</v>
      </c>
      <c r="B67" s="24" t="s">
        <v>195</v>
      </c>
      <c r="C67" s="22" t="s">
        <v>75</v>
      </c>
      <c r="D67" s="22" t="s">
        <v>272</v>
      </c>
      <c r="E67" s="22" t="s">
        <v>173</v>
      </c>
      <c r="F67" s="22" t="s">
        <v>127</v>
      </c>
      <c r="G67" s="23"/>
      <c r="H67" s="23"/>
      <c r="I67" s="23"/>
      <c r="J67" s="23"/>
      <c r="K67" s="23" t="s">
        <v>66</v>
      </c>
      <c r="L67" s="23"/>
    </row>
    <row r="68" customFormat="false" ht="23.85" hidden="false" customHeight="false" outlineLevel="0" collapsed="false">
      <c r="A68" s="20" t="s">
        <v>273</v>
      </c>
      <c r="B68" s="24" t="s">
        <v>195</v>
      </c>
      <c r="C68" s="22" t="s">
        <v>196</v>
      </c>
      <c r="D68" s="22" t="s">
        <v>274</v>
      </c>
      <c r="E68" s="22" t="s">
        <v>192</v>
      </c>
      <c r="F68" s="22" t="s">
        <v>78</v>
      </c>
      <c r="G68" s="23"/>
      <c r="H68" s="23"/>
      <c r="I68" s="23"/>
      <c r="J68" s="23"/>
      <c r="K68" s="23" t="s">
        <v>66</v>
      </c>
      <c r="L68" s="23"/>
    </row>
    <row r="69" customFormat="false" ht="23.85" hidden="false" customHeight="false" outlineLevel="0" collapsed="false">
      <c r="A69" s="20" t="s">
        <v>275</v>
      </c>
      <c r="B69" s="24" t="s">
        <v>195</v>
      </c>
      <c r="C69" s="22" t="s">
        <v>80</v>
      </c>
      <c r="D69" s="22" t="s">
        <v>276</v>
      </c>
      <c r="E69" s="22" t="s">
        <v>277</v>
      </c>
      <c r="F69" s="22" t="s">
        <v>78</v>
      </c>
      <c r="G69" s="23"/>
      <c r="H69" s="23"/>
      <c r="I69" s="23"/>
      <c r="J69" s="23"/>
      <c r="K69" s="23" t="s">
        <v>66</v>
      </c>
      <c r="L69" s="23"/>
    </row>
    <row r="70" customFormat="false" ht="23.85" hidden="false" customHeight="false" outlineLevel="0" collapsed="false">
      <c r="A70" s="20" t="s">
        <v>278</v>
      </c>
      <c r="B70" s="24" t="s">
        <v>195</v>
      </c>
      <c r="C70" s="22" t="s">
        <v>196</v>
      </c>
      <c r="D70" s="22" t="s">
        <v>279</v>
      </c>
      <c r="E70" s="22" t="s">
        <v>244</v>
      </c>
      <c r="F70" s="22" t="s">
        <v>78</v>
      </c>
      <c r="G70" s="23"/>
      <c r="H70" s="23"/>
      <c r="I70" s="23"/>
      <c r="J70" s="23"/>
      <c r="K70" s="23" t="s">
        <v>66</v>
      </c>
      <c r="L70" s="23"/>
    </row>
    <row r="71" customFormat="false" ht="23.85" hidden="false" customHeight="false" outlineLevel="0" collapsed="false">
      <c r="A71" s="20" t="s">
        <v>280</v>
      </c>
      <c r="B71" s="24" t="s">
        <v>195</v>
      </c>
      <c r="C71" s="22" t="s">
        <v>196</v>
      </c>
      <c r="D71" s="22" t="s">
        <v>281</v>
      </c>
      <c r="E71" s="22" t="s">
        <v>192</v>
      </c>
      <c r="F71" s="22" t="s">
        <v>78</v>
      </c>
      <c r="G71" s="23"/>
      <c r="H71" s="23"/>
      <c r="I71" s="23"/>
      <c r="J71" s="23"/>
      <c r="K71" s="23" t="s">
        <v>66</v>
      </c>
      <c r="L71" s="23"/>
    </row>
    <row r="72" customFormat="false" ht="15" hidden="false" customHeight="false" outlineLevel="0" collapsed="false">
      <c r="A72" s="20" t="s">
        <v>282</v>
      </c>
      <c r="B72" s="25" t="s">
        <v>283</v>
      </c>
      <c r="C72" s="22" t="s">
        <v>284</v>
      </c>
      <c r="D72" s="22" t="s">
        <v>285</v>
      </c>
      <c r="E72" s="22" t="s">
        <v>173</v>
      </c>
      <c r="F72" s="22" t="s">
        <v>286</v>
      </c>
      <c r="G72" s="23"/>
      <c r="H72" s="23"/>
      <c r="I72" s="23"/>
      <c r="J72" s="23"/>
      <c r="K72" s="23" t="s">
        <v>66</v>
      </c>
      <c r="L72" s="23"/>
    </row>
    <row r="73" customFormat="false" ht="23.85" hidden="false" customHeight="false" outlineLevel="0" collapsed="false">
      <c r="A73" s="20" t="s">
        <v>287</v>
      </c>
      <c r="B73" s="25" t="s">
        <v>283</v>
      </c>
      <c r="C73" s="22" t="s">
        <v>284</v>
      </c>
      <c r="D73" s="22" t="s">
        <v>288</v>
      </c>
      <c r="E73" s="22" t="s">
        <v>158</v>
      </c>
      <c r="F73" s="22" t="s">
        <v>78</v>
      </c>
      <c r="G73" s="23"/>
      <c r="H73" s="23"/>
      <c r="I73" s="23"/>
      <c r="J73" s="23"/>
      <c r="K73" s="23" t="s">
        <v>66</v>
      </c>
      <c r="L73" s="23"/>
    </row>
    <row r="74" customFormat="false" ht="23.85" hidden="false" customHeight="false" outlineLevel="0" collapsed="false">
      <c r="A74" s="20" t="s">
        <v>289</v>
      </c>
      <c r="B74" s="25" t="s">
        <v>283</v>
      </c>
      <c r="C74" s="22" t="s">
        <v>284</v>
      </c>
      <c r="D74" s="22" t="s">
        <v>290</v>
      </c>
      <c r="E74" s="22" t="s">
        <v>291</v>
      </c>
      <c r="F74" s="22" t="s">
        <v>292</v>
      </c>
      <c r="G74" s="23"/>
      <c r="H74" s="23"/>
      <c r="I74" s="23"/>
      <c r="J74" s="23"/>
      <c r="K74" s="23" t="s">
        <v>66</v>
      </c>
      <c r="L74" s="23"/>
    </row>
    <row r="75" customFormat="false" ht="15" hidden="false" customHeight="false" outlineLevel="0" collapsed="false">
      <c r="A75" s="20" t="s">
        <v>293</v>
      </c>
      <c r="B75" s="25" t="s">
        <v>283</v>
      </c>
      <c r="C75" s="22" t="s">
        <v>156</v>
      </c>
      <c r="D75" s="22" t="s">
        <v>294</v>
      </c>
      <c r="E75" s="22" t="s">
        <v>295</v>
      </c>
      <c r="F75" s="22" t="s">
        <v>296</v>
      </c>
      <c r="G75" s="23"/>
      <c r="H75" s="23"/>
      <c r="I75" s="23"/>
      <c r="J75" s="23"/>
      <c r="K75" s="23" t="s">
        <v>66</v>
      </c>
      <c r="L75" s="23"/>
    </row>
    <row r="76" customFormat="false" ht="15" hidden="false" customHeight="false" outlineLevel="0" collapsed="false">
      <c r="A76" s="20" t="s">
        <v>297</v>
      </c>
      <c r="B76" s="25" t="s">
        <v>283</v>
      </c>
      <c r="C76" s="22" t="s">
        <v>156</v>
      </c>
      <c r="D76" s="22" t="s">
        <v>298</v>
      </c>
      <c r="E76" s="22" t="s">
        <v>198</v>
      </c>
      <c r="F76" s="22" t="s">
        <v>70</v>
      </c>
      <c r="G76" s="23"/>
      <c r="H76" s="23"/>
      <c r="I76" s="23"/>
      <c r="J76" s="23"/>
      <c r="K76" s="23" t="s">
        <v>66</v>
      </c>
      <c r="L76" s="23"/>
    </row>
    <row r="77" customFormat="false" ht="23.85" hidden="false" customHeight="false" outlineLevel="0" collapsed="false">
      <c r="A77" s="20" t="s">
        <v>299</v>
      </c>
      <c r="B77" s="25" t="s">
        <v>283</v>
      </c>
      <c r="C77" s="22" t="s">
        <v>300</v>
      </c>
      <c r="D77" s="22" t="s">
        <v>301</v>
      </c>
      <c r="E77" s="22" t="s">
        <v>302</v>
      </c>
      <c r="F77" s="22" t="s">
        <v>303</v>
      </c>
      <c r="G77" s="23"/>
      <c r="H77" s="23"/>
      <c r="I77" s="23"/>
      <c r="J77" s="23"/>
      <c r="K77" s="23" t="s">
        <v>66</v>
      </c>
      <c r="L77" s="23"/>
    </row>
    <row r="78" customFormat="false" ht="15" hidden="false" customHeight="false" outlineLevel="0" collapsed="false">
      <c r="A78" s="20" t="s">
        <v>304</v>
      </c>
      <c r="B78" s="25" t="s">
        <v>283</v>
      </c>
      <c r="C78" s="22" t="s">
        <v>300</v>
      </c>
      <c r="D78" s="22" t="s">
        <v>305</v>
      </c>
      <c r="E78" s="22" t="s">
        <v>306</v>
      </c>
      <c r="F78" s="22" t="s">
        <v>307</v>
      </c>
      <c r="G78" s="23"/>
      <c r="H78" s="23"/>
      <c r="I78" s="23"/>
      <c r="J78" s="23"/>
      <c r="K78" s="23" t="s">
        <v>66</v>
      </c>
      <c r="L78" s="23"/>
    </row>
    <row r="79" customFormat="false" ht="23.85" hidden="false" customHeight="false" outlineLevel="0" collapsed="false">
      <c r="A79" s="20" t="s">
        <v>308</v>
      </c>
      <c r="B79" s="25" t="s">
        <v>283</v>
      </c>
      <c r="C79" s="22" t="s">
        <v>51</v>
      </c>
      <c r="D79" s="22" t="s">
        <v>309</v>
      </c>
      <c r="E79" s="22" t="s">
        <v>310</v>
      </c>
      <c r="F79" s="22" t="s">
        <v>311</v>
      </c>
      <c r="G79" s="23"/>
      <c r="H79" s="23"/>
      <c r="I79" s="23"/>
      <c r="J79" s="23"/>
      <c r="K79" s="23" t="s">
        <v>66</v>
      </c>
      <c r="L79" s="23"/>
    </row>
    <row r="80" customFormat="false" ht="23.85" hidden="false" customHeight="false" outlineLevel="0" collapsed="false">
      <c r="A80" s="20" t="s">
        <v>312</v>
      </c>
      <c r="B80" s="25" t="s">
        <v>283</v>
      </c>
      <c r="C80" s="22" t="s">
        <v>131</v>
      </c>
      <c r="D80" s="22" t="s">
        <v>313</v>
      </c>
      <c r="E80" s="22" t="s">
        <v>314</v>
      </c>
      <c r="F80" s="22" t="s">
        <v>78</v>
      </c>
      <c r="G80" s="23"/>
      <c r="H80" s="23"/>
      <c r="I80" s="23"/>
      <c r="J80" s="23"/>
      <c r="K80" s="23" t="s">
        <v>66</v>
      </c>
      <c r="L80" s="23"/>
    </row>
    <row r="81" customFormat="false" ht="23.85" hidden="false" customHeight="false" outlineLevel="0" collapsed="false">
      <c r="A81" s="20" t="s">
        <v>315</v>
      </c>
      <c r="B81" s="25" t="s">
        <v>283</v>
      </c>
      <c r="C81" s="22" t="s">
        <v>80</v>
      </c>
      <c r="D81" s="22" t="s">
        <v>316</v>
      </c>
      <c r="E81" s="22" t="s">
        <v>198</v>
      </c>
      <c r="F81" s="22" t="s">
        <v>70</v>
      </c>
      <c r="G81" s="23"/>
      <c r="H81" s="23"/>
      <c r="I81" s="23"/>
      <c r="J81" s="23"/>
      <c r="K81" s="23" t="s">
        <v>66</v>
      </c>
      <c r="L81" s="23"/>
    </row>
    <row r="82" customFormat="false" ht="23.85" hidden="false" customHeight="false" outlineLevel="0" collapsed="false">
      <c r="A82" s="20" t="s">
        <v>317</v>
      </c>
      <c r="B82" s="25" t="s">
        <v>283</v>
      </c>
      <c r="C82" s="22" t="s">
        <v>318</v>
      </c>
      <c r="D82" s="22" t="s">
        <v>319</v>
      </c>
      <c r="E82" s="22" t="s">
        <v>320</v>
      </c>
      <c r="F82" s="22" t="s">
        <v>321</v>
      </c>
      <c r="G82" s="23"/>
      <c r="H82" s="23"/>
      <c r="I82" s="23"/>
      <c r="J82" s="23"/>
      <c r="K82" s="23" t="s">
        <v>66</v>
      </c>
      <c r="L82" s="23"/>
    </row>
    <row r="83" customFormat="false" ht="23.85" hidden="false" customHeight="false" outlineLevel="0" collapsed="false">
      <c r="A83" s="20" t="s">
        <v>322</v>
      </c>
      <c r="B83" s="25" t="s">
        <v>283</v>
      </c>
      <c r="C83" s="22" t="s">
        <v>323</v>
      </c>
      <c r="D83" s="22" t="s">
        <v>324</v>
      </c>
      <c r="E83" s="22" t="s">
        <v>192</v>
      </c>
      <c r="F83" s="22" t="s">
        <v>325</v>
      </c>
      <c r="G83" s="23"/>
      <c r="H83" s="23"/>
      <c r="I83" s="23"/>
      <c r="J83" s="23"/>
      <c r="K83" s="23" t="s">
        <v>66</v>
      </c>
      <c r="L83" s="23"/>
    </row>
    <row r="84" customFormat="false" ht="23.85" hidden="false" customHeight="false" outlineLevel="0" collapsed="false">
      <c r="A84" s="20" t="s">
        <v>326</v>
      </c>
      <c r="B84" s="25" t="s">
        <v>283</v>
      </c>
      <c r="C84" s="22" t="s">
        <v>51</v>
      </c>
      <c r="D84" s="22" t="s">
        <v>327</v>
      </c>
      <c r="E84" s="22" t="s">
        <v>198</v>
      </c>
      <c r="F84" s="22" t="s">
        <v>70</v>
      </c>
      <c r="G84" s="23"/>
      <c r="H84" s="23"/>
      <c r="I84" s="23"/>
      <c r="J84" s="23"/>
      <c r="K84" s="23" t="s">
        <v>66</v>
      </c>
      <c r="L84" s="23"/>
    </row>
    <row r="85" customFormat="false" ht="23.85" hidden="false" customHeight="false" outlineLevel="0" collapsed="false">
      <c r="A85" s="20" t="s">
        <v>328</v>
      </c>
      <c r="B85" s="25" t="s">
        <v>283</v>
      </c>
      <c r="C85" s="22" t="s">
        <v>323</v>
      </c>
      <c r="D85" s="22" t="s">
        <v>329</v>
      </c>
      <c r="E85" s="22" t="s">
        <v>330</v>
      </c>
      <c r="F85" s="22" t="s">
        <v>78</v>
      </c>
      <c r="G85" s="23"/>
      <c r="H85" s="23"/>
      <c r="I85" s="23"/>
      <c r="J85" s="23"/>
      <c r="K85" s="23" t="s">
        <v>66</v>
      </c>
      <c r="L85" s="23"/>
    </row>
  </sheetData>
  <autoFilter ref="A4:L85"/>
  <dataValidations count="1">
    <dataValidation allowBlank="true" errorStyle="stop" operator="between" showDropDown="false" showErrorMessage="false" showInputMessage="false" sqref="K6:K85" type="list">
      <formula1>"Pendiente,En proceso,Listo,No aplica"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6" min="5" style="0" width="22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331</v>
      </c>
    </row>
    <row r="2" customFormat="false" ht="15" hidden="false" customHeight="false" outlineLevel="0" collapsed="false">
      <c r="A2" s="2" t="s">
        <v>332</v>
      </c>
    </row>
    <row r="4" customFormat="false" ht="15" hidden="false" customHeight="false" outlineLevel="0" collapsed="false">
      <c r="A4" s="3" t="s">
        <v>333</v>
      </c>
    </row>
    <row r="5" customFormat="false" ht="15" hidden="false" customHeight="false" outlineLevel="0" collapsed="false">
      <c r="A5" s="11" t="s">
        <v>334</v>
      </c>
      <c r="B5" s="11" t="s">
        <v>335</v>
      </c>
      <c r="C5" s="11" t="s">
        <v>336</v>
      </c>
      <c r="D5" s="11" t="s">
        <v>337</v>
      </c>
      <c r="E5" s="11" t="s">
        <v>47</v>
      </c>
      <c r="F5" s="11" t="s">
        <v>338</v>
      </c>
      <c r="G5" s="11" t="s">
        <v>339</v>
      </c>
    </row>
    <row r="6" customFormat="false" ht="23.85" hidden="false" customHeight="false" outlineLevel="0" collapsed="false">
      <c r="A6" s="19" t="s">
        <v>340</v>
      </c>
      <c r="B6" s="19" t="s">
        <v>341</v>
      </c>
      <c r="C6" s="26" t="n">
        <v>7.52</v>
      </c>
      <c r="D6" s="19" t="s">
        <v>342</v>
      </c>
      <c r="E6" s="19" t="s">
        <v>343</v>
      </c>
      <c r="F6" s="19" t="s">
        <v>344</v>
      </c>
      <c r="G6" s="19" t="s">
        <v>345</v>
      </c>
    </row>
    <row r="7" customFormat="false" ht="15" hidden="false" customHeight="false" outlineLevel="0" collapsed="false">
      <c r="A7" s="23" t="s">
        <v>346</v>
      </c>
      <c r="B7" s="23"/>
      <c r="C7" s="27"/>
      <c r="D7" s="23"/>
      <c r="E7" s="23"/>
      <c r="F7" s="23"/>
      <c r="G7" s="23"/>
    </row>
    <row r="8" customFormat="false" ht="15" hidden="false" customHeight="false" outlineLevel="0" collapsed="false">
      <c r="A8" s="23" t="s">
        <v>347</v>
      </c>
      <c r="B8" s="23"/>
      <c r="C8" s="27"/>
      <c r="D8" s="23"/>
      <c r="E8" s="23"/>
      <c r="F8" s="23"/>
      <c r="G8" s="23"/>
    </row>
    <row r="9" customFormat="false" ht="15" hidden="false" customHeight="false" outlineLevel="0" collapsed="false">
      <c r="A9" s="23" t="s">
        <v>348</v>
      </c>
      <c r="B9" s="23"/>
      <c r="C9" s="27"/>
      <c r="D9" s="23"/>
      <c r="E9" s="23"/>
      <c r="F9" s="23"/>
      <c r="G9" s="23"/>
    </row>
    <row r="10" customFormat="false" ht="15" hidden="false" customHeight="false" outlineLevel="0" collapsed="false">
      <c r="A10" s="23" t="s">
        <v>349</v>
      </c>
      <c r="B10" s="23"/>
      <c r="C10" s="27"/>
      <c r="D10" s="23"/>
      <c r="E10" s="23"/>
      <c r="F10" s="23"/>
      <c r="G10" s="23"/>
    </row>
    <row r="11" customFormat="false" ht="15" hidden="false" customHeight="false" outlineLevel="0" collapsed="false">
      <c r="A11" s="23" t="s">
        <v>350</v>
      </c>
      <c r="B11" s="23"/>
      <c r="C11" s="27"/>
      <c r="D11" s="23"/>
      <c r="E11" s="23"/>
      <c r="F11" s="23"/>
      <c r="G11" s="23"/>
    </row>
    <row r="12" customFormat="false" ht="15" hidden="false" customHeight="false" outlineLevel="0" collapsed="false">
      <c r="A12" s="23" t="s">
        <v>351</v>
      </c>
      <c r="B12" s="23"/>
      <c r="C12" s="27"/>
      <c r="D12" s="23"/>
      <c r="E12" s="23"/>
      <c r="F12" s="23"/>
      <c r="G12" s="23"/>
    </row>
    <row r="13" customFormat="false" ht="15" hidden="false" customHeight="false" outlineLevel="0" collapsed="false">
      <c r="A13" s="23" t="s">
        <v>352</v>
      </c>
      <c r="B13" s="23"/>
      <c r="C13" s="27"/>
      <c r="D13" s="23"/>
      <c r="E13" s="23"/>
      <c r="F13" s="23"/>
      <c r="G13" s="23"/>
    </row>
    <row r="14" customFormat="false" ht="15" hidden="false" customHeight="false" outlineLevel="0" collapsed="false">
      <c r="A14" s="23" t="s">
        <v>353</v>
      </c>
      <c r="B14" s="23"/>
      <c r="C14" s="27"/>
      <c r="D14" s="23"/>
      <c r="E14" s="23"/>
      <c r="F14" s="23"/>
      <c r="G14" s="23"/>
    </row>
    <row r="15" customFormat="false" ht="15" hidden="false" customHeight="false" outlineLevel="0" collapsed="false">
      <c r="A15" s="23" t="s">
        <v>354</v>
      </c>
      <c r="B15" s="23"/>
      <c r="C15" s="27"/>
      <c r="D15" s="23"/>
      <c r="E15" s="23"/>
      <c r="F15" s="23"/>
      <c r="G15" s="23"/>
    </row>
    <row r="16" customFormat="false" ht="15" hidden="false" customHeight="false" outlineLevel="0" collapsed="false">
      <c r="A16" s="23" t="s">
        <v>355</v>
      </c>
      <c r="B16" s="23"/>
      <c r="C16" s="27"/>
      <c r="D16" s="23"/>
      <c r="E16" s="23"/>
      <c r="F16" s="23"/>
      <c r="G16" s="23"/>
    </row>
    <row r="17" customFormat="false" ht="15" hidden="false" customHeight="false" outlineLevel="0" collapsed="false">
      <c r="A17" s="23" t="s">
        <v>356</v>
      </c>
      <c r="B17" s="23"/>
      <c r="C17" s="27"/>
      <c r="D17" s="23"/>
      <c r="E17" s="23"/>
      <c r="F17" s="23"/>
      <c r="G17" s="23"/>
    </row>
    <row r="18" customFormat="false" ht="15" hidden="false" customHeight="false" outlineLevel="0" collapsed="false">
      <c r="A18" s="23" t="s">
        <v>357</v>
      </c>
      <c r="B18" s="23"/>
      <c r="C18" s="27"/>
      <c r="D18" s="23"/>
      <c r="E18" s="23"/>
      <c r="F18" s="23"/>
      <c r="G18" s="23"/>
    </row>
    <row r="19" customFormat="false" ht="15" hidden="false" customHeight="false" outlineLevel="0" collapsed="false">
      <c r="A19" s="23" t="s">
        <v>358</v>
      </c>
      <c r="B19" s="23"/>
      <c r="C19" s="27"/>
      <c r="D19" s="23"/>
      <c r="E19" s="23"/>
      <c r="F19" s="23"/>
      <c r="G19" s="23"/>
    </row>
    <row r="20" customFormat="false" ht="15" hidden="false" customHeight="false" outlineLevel="0" collapsed="false">
      <c r="A20" s="23" t="s">
        <v>359</v>
      </c>
      <c r="B20" s="23"/>
      <c r="C20" s="27"/>
      <c r="D20" s="23"/>
      <c r="E20" s="23"/>
      <c r="F20" s="23"/>
      <c r="G20" s="23"/>
    </row>
    <row r="21" customFormat="false" ht="15" hidden="false" customHeight="false" outlineLevel="0" collapsed="false">
      <c r="A21" s="23" t="s">
        <v>360</v>
      </c>
      <c r="B21" s="23"/>
      <c r="C21" s="27"/>
      <c r="D21" s="23"/>
      <c r="E21" s="23"/>
      <c r="F21" s="23"/>
      <c r="G21" s="23"/>
    </row>
    <row r="22" customFormat="false" ht="15" hidden="false" customHeight="false" outlineLevel="0" collapsed="false">
      <c r="A22" s="23"/>
      <c r="B22" s="23"/>
      <c r="C22" s="27"/>
      <c r="D22" s="23"/>
      <c r="E22" s="23"/>
      <c r="F22" s="23"/>
      <c r="G22" s="23"/>
    </row>
    <row r="23" customFormat="false" ht="15" hidden="false" customHeight="false" outlineLevel="0" collapsed="false">
      <c r="A23" s="23"/>
      <c r="B23" s="23"/>
      <c r="C23" s="27"/>
      <c r="D23" s="23"/>
      <c r="E23" s="23"/>
      <c r="F23" s="23"/>
      <c r="G23" s="23"/>
    </row>
    <row r="24" customFormat="false" ht="15" hidden="false" customHeight="false" outlineLevel="0" collapsed="false">
      <c r="A24" s="23"/>
      <c r="B24" s="23"/>
      <c r="C24" s="27"/>
      <c r="D24" s="23"/>
      <c r="E24" s="23"/>
      <c r="F24" s="23"/>
      <c r="G24" s="23"/>
    </row>
    <row r="25" customFormat="false" ht="15" hidden="false" customHeight="false" outlineLevel="0" collapsed="false">
      <c r="B25" s="5" t="s">
        <v>361</v>
      </c>
      <c r="C25" s="28" t="n">
        <f aca="false">SUM(C7:C24)</f>
        <v>0</v>
      </c>
    </row>
    <row r="26" customFormat="false" ht="15" hidden="false" customHeight="false" outlineLevel="0" collapsed="false">
      <c r="B26" s="2" t="s">
        <v>362</v>
      </c>
    </row>
    <row r="28" customFormat="false" ht="15" hidden="false" customHeight="false" outlineLevel="0" collapsed="false">
      <c r="A28" s="3" t="s">
        <v>363</v>
      </c>
    </row>
    <row r="29" customFormat="false" ht="15" hidden="false" customHeight="false" outlineLevel="0" collapsed="false">
      <c r="A29" s="11" t="s">
        <v>364</v>
      </c>
      <c r="B29" s="11" t="s">
        <v>365</v>
      </c>
      <c r="C29" s="11" t="s">
        <v>366</v>
      </c>
      <c r="D29" s="11" t="s">
        <v>367</v>
      </c>
      <c r="E29" s="11" t="s">
        <v>368</v>
      </c>
      <c r="F29" s="11" t="s">
        <v>369</v>
      </c>
      <c r="G29" s="11" t="s">
        <v>339</v>
      </c>
    </row>
    <row r="30" customFormat="false" ht="15" hidden="false" customHeight="false" outlineLevel="0" collapsed="false">
      <c r="A30" s="19" t="s">
        <v>370</v>
      </c>
      <c r="B30" s="19" t="s">
        <v>371</v>
      </c>
      <c r="C30" s="26" t="n">
        <v>21.35</v>
      </c>
      <c r="D30" s="19" t="s">
        <v>372</v>
      </c>
      <c r="E30" s="26" t="n">
        <v>21.31</v>
      </c>
      <c r="F30" s="26" t="n">
        <f aca="false">IF(OR(C30="",E30=""),"",ABS(C30-E30))</f>
        <v>0.0400000000000027</v>
      </c>
      <c r="G30" s="19" t="s">
        <v>373</v>
      </c>
    </row>
    <row r="31" customFormat="false" ht="15" hidden="false" customHeight="false" outlineLevel="0" collapsed="false">
      <c r="A31" s="23"/>
      <c r="B31" s="23"/>
      <c r="C31" s="27"/>
      <c r="D31" s="23"/>
      <c r="E31" s="27"/>
      <c r="F31" s="29" t="str">
        <f aca="false">IF(OR(C31="",E31=""),"",ABS(C31-E31))</f>
        <v/>
      </c>
      <c r="G31" s="23"/>
    </row>
    <row r="32" customFormat="false" ht="15" hidden="false" customHeight="false" outlineLevel="0" collapsed="false">
      <c r="A32" s="23"/>
      <c r="B32" s="23"/>
      <c r="C32" s="27"/>
      <c r="D32" s="23"/>
      <c r="E32" s="27"/>
      <c r="F32" s="29" t="str">
        <f aca="false">IF(OR(C32="",E32=""),"",ABS(C32-E32))</f>
        <v/>
      </c>
      <c r="G32" s="23"/>
    </row>
    <row r="33" customFormat="false" ht="15" hidden="false" customHeight="false" outlineLevel="0" collapsed="false">
      <c r="A33" s="23"/>
      <c r="B33" s="23"/>
      <c r="C33" s="27"/>
      <c r="D33" s="23"/>
      <c r="E33" s="27"/>
      <c r="F33" s="29" t="str">
        <f aca="false">IF(OR(C33="",E33=""),"",ABS(C33-E33))</f>
        <v/>
      </c>
      <c r="G33" s="23"/>
    </row>
    <row r="34" customFormat="false" ht="15" hidden="false" customHeight="false" outlineLevel="0" collapsed="false">
      <c r="A34" s="23"/>
      <c r="B34" s="23"/>
      <c r="C34" s="27"/>
      <c r="D34" s="23"/>
      <c r="E34" s="27"/>
      <c r="F34" s="29" t="str">
        <f aca="false">IF(OR(C34="",E34=""),"",ABS(C34-E34))</f>
        <v/>
      </c>
      <c r="G34" s="23"/>
    </row>
    <row r="37" customFormat="false" ht="15" hidden="false" customHeight="false" outlineLevel="0" collapsed="false">
      <c r="A37" s="3" t="s">
        <v>374</v>
      </c>
    </row>
    <row r="38" customFormat="false" ht="23.85" hidden="false" customHeight="false" outlineLevel="0" collapsed="false">
      <c r="A38" s="11" t="s">
        <v>375</v>
      </c>
      <c r="B38" s="11" t="s">
        <v>376</v>
      </c>
      <c r="C38" s="11" t="s">
        <v>377</v>
      </c>
      <c r="D38" s="11" t="s">
        <v>378</v>
      </c>
      <c r="E38" s="11" t="s">
        <v>379</v>
      </c>
      <c r="F38" s="11" t="s">
        <v>338</v>
      </c>
      <c r="G38" s="11" t="s">
        <v>339</v>
      </c>
    </row>
    <row r="39" customFormat="false" ht="15" hidden="false" customHeight="false" outlineLevel="0" collapsed="false">
      <c r="A39" s="19" t="s">
        <v>380</v>
      </c>
      <c r="B39" s="26" t="n">
        <v>3.4</v>
      </c>
      <c r="C39" s="26" t="n">
        <v>3.05</v>
      </c>
      <c r="D39" s="26" t="n">
        <v>2.7</v>
      </c>
      <c r="E39" s="26" t="n">
        <v>2.05</v>
      </c>
      <c r="F39" s="19" t="s">
        <v>381</v>
      </c>
      <c r="G39" s="19" t="s">
        <v>382</v>
      </c>
    </row>
    <row r="40" customFormat="false" ht="15" hidden="false" customHeight="false" outlineLevel="0" collapsed="false">
      <c r="A40" s="23" t="s">
        <v>383</v>
      </c>
      <c r="B40" s="27"/>
      <c r="C40" s="27"/>
      <c r="D40" s="27"/>
      <c r="E40" s="27"/>
      <c r="F40" s="23"/>
      <c r="G40" s="23"/>
    </row>
    <row r="41" customFormat="false" ht="15" hidden="false" customHeight="false" outlineLevel="0" collapsed="false">
      <c r="A41" s="23" t="s">
        <v>384</v>
      </c>
      <c r="B41" s="27"/>
      <c r="C41" s="27"/>
      <c r="D41" s="27"/>
      <c r="E41" s="27"/>
      <c r="F41" s="23"/>
      <c r="G41" s="23"/>
    </row>
    <row r="42" customFormat="false" ht="15" hidden="false" customHeight="false" outlineLevel="0" collapsed="false">
      <c r="A42" s="23" t="s">
        <v>385</v>
      </c>
      <c r="B42" s="27"/>
      <c r="C42" s="27"/>
      <c r="D42" s="27"/>
      <c r="E42" s="27"/>
      <c r="F42" s="23"/>
      <c r="G42" s="23"/>
    </row>
    <row r="43" customFormat="false" ht="15" hidden="false" customHeight="false" outlineLevel="0" collapsed="false">
      <c r="A43" s="23" t="s">
        <v>386</v>
      </c>
      <c r="B43" s="27"/>
      <c r="C43" s="27"/>
      <c r="D43" s="27"/>
      <c r="E43" s="27"/>
      <c r="F43" s="23"/>
      <c r="G43" s="23"/>
    </row>
    <row r="44" customFormat="false" ht="15" hidden="false" customHeight="false" outlineLevel="0" collapsed="false">
      <c r="A44" s="23"/>
      <c r="B44" s="27"/>
      <c r="C44" s="27"/>
      <c r="D44" s="27"/>
      <c r="E44" s="27"/>
      <c r="F44" s="23"/>
      <c r="G44" s="23"/>
    </row>
    <row r="45" customFormat="false" ht="15" hidden="false" customHeight="false" outlineLevel="0" collapsed="false">
      <c r="A45" s="23"/>
      <c r="B45" s="27"/>
      <c r="C45" s="27"/>
      <c r="D45" s="27"/>
      <c r="E45" s="27"/>
      <c r="F45" s="23"/>
      <c r="G45" s="23"/>
    </row>
    <row r="46" customFormat="false" ht="15" hidden="false" customHeight="false" outlineLevel="0" collapsed="false">
      <c r="A46" s="5" t="s">
        <v>387</v>
      </c>
      <c r="D46" s="28" t="str">
        <f aca="false">IF(COUNT(B40:D45)=0,"",MIN(B40:D45))</f>
        <v/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2" t="s">
        <v>389</v>
      </c>
    </row>
    <row r="4" customFormat="false" ht="23.85" hidden="false" customHeight="false" outlineLevel="0" collapsed="false">
      <c r="A4" s="11" t="s">
        <v>38</v>
      </c>
      <c r="B4" s="11" t="s">
        <v>390</v>
      </c>
      <c r="C4" s="11" t="s">
        <v>391</v>
      </c>
      <c r="D4" s="11" t="s">
        <v>392</v>
      </c>
      <c r="E4" s="11" t="s">
        <v>393</v>
      </c>
      <c r="F4" s="11" t="s">
        <v>394</v>
      </c>
      <c r="G4" s="11" t="s">
        <v>395</v>
      </c>
      <c r="H4" s="11" t="s">
        <v>396</v>
      </c>
      <c r="I4" s="11" t="s">
        <v>338</v>
      </c>
      <c r="J4" s="11" t="s">
        <v>339</v>
      </c>
    </row>
    <row r="5" customFormat="false" ht="23.85" hidden="false" customHeight="false" outlineLevel="0" collapsed="false">
      <c r="A5" s="19" t="s">
        <v>49</v>
      </c>
      <c r="B5" s="19" t="s">
        <v>397</v>
      </c>
      <c r="C5" s="19" t="s">
        <v>398</v>
      </c>
      <c r="D5" s="19" t="n">
        <v>3.2</v>
      </c>
      <c r="E5" s="19" t="s">
        <v>399</v>
      </c>
      <c r="F5" s="19" t="n">
        <v>8.45</v>
      </c>
      <c r="G5" s="19" t="s">
        <v>400</v>
      </c>
      <c r="H5" s="19" t="s">
        <v>401</v>
      </c>
      <c r="I5" s="19" t="s">
        <v>402</v>
      </c>
      <c r="J5" s="19" t="s">
        <v>403</v>
      </c>
    </row>
    <row r="6" customFormat="false" ht="15" hidden="false" customHeight="false" outlineLevel="0" collapsed="false">
      <c r="A6" s="22" t="s">
        <v>404</v>
      </c>
      <c r="B6" s="23"/>
      <c r="C6" s="23"/>
      <c r="D6" s="23"/>
      <c r="E6" s="23"/>
      <c r="F6" s="23"/>
      <c r="G6" s="23"/>
      <c r="H6" s="23"/>
      <c r="I6" s="23"/>
      <c r="J6" s="23"/>
    </row>
    <row r="7" customFormat="false" ht="15" hidden="false" customHeight="false" outlineLevel="0" collapsed="false">
      <c r="A7" s="22" t="s">
        <v>405</v>
      </c>
      <c r="B7" s="23"/>
      <c r="C7" s="23"/>
      <c r="D7" s="23"/>
      <c r="E7" s="23"/>
      <c r="F7" s="23"/>
      <c r="G7" s="23"/>
      <c r="H7" s="23"/>
      <c r="I7" s="23"/>
      <c r="J7" s="23"/>
    </row>
    <row r="8" customFormat="false" ht="15" hidden="false" customHeight="false" outlineLevel="0" collapsed="false">
      <c r="A8" s="22" t="s">
        <v>406</v>
      </c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false" outlineLevel="0" collapsed="false">
      <c r="A9" s="22" t="s">
        <v>407</v>
      </c>
      <c r="B9" s="23"/>
      <c r="C9" s="23"/>
      <c r="D9" s="23"/>
      <c r="E9" s="23"/>
      <c r="F9" s="23"/>
      <c r="G9" s="23"/>
      <c r="H9" s="23"/>
      <c r="I9" s="23"/>
      <c r="J9" s="23"/>
    </row>
    <row r="10" customFormat="false" ht="15" hidden="false" customHeight="false" outlineLevel="0" collapsed="false">
      <c r="A10" s="22" t="s">
        <v>408</v>
      </c>
      <c r="B10" s="23"/>
      <c r="C10" s="23"/>
      <c r="D10" s="23"/>
      <c r="E10" s="23"/>
      <c r="F10" s="23"/>
      <c r="G10" s="23"/>
      <c r="H10" s="23"/>
      <c r="I10" s="23"/>
      <c r="J10" s="23"/>
    </row>
    <row r="11" customFormat="false" ht="15" hidden="false" customHeight="false" outlineLevel="0" collapsed="false">
      <c r="A11" s="22" t="s">
        <v>409</v>
      </c>
      <c r="B11" s="23"/>
      <c r="C11" s="23"/>
      <c r="D11" s="23"/>
      <c r="E11" s="23"/>
      <c r="F11" s="23"/>
      <c r="G11" s="23"/>
      <c r="H11" s="23"/>
      <c r="I11" s="23"/>
      <c r="J11" s="23"/>
    </row>
    <row r="12" customFormat="false" ht="15" hidden="false" customHeight="false" outlineLevel="0" collapsed="false">
      <c r="A12" s="22" t="s">
        <v>410</v>
      </c>
      <c r="B12" s="23"/>
      <c r="C12" s="23"/>
      <c r="D12" s="23"/>
      <c r="E12" s="23"/>
      <c r="F12" s="23"/>
      <c r="G12" s="23"/>
      <c r="H12" s="23"/>
      <c r="I12" s="23"/>
      <c r="J12" s="23"/>
    </row>
    <row r="13" customFormat="false" ht="15" hidden="false" customHeight="false" outlineLevel="0" collapsed="false">
      <c r="A13" s="22" t="s">
        <v>411</v>
      </c>
      <c r="B13" s="23"/>
      <c r="C13" s="23"/>
      <c r="D13" s="23"/>
      <c r="E13" s="23"/>
      <c r="F13" s="23"/>
      <c r="G13" s="23"/>
      <c r="H13" s="23"/>
      <c r="I13" s="23"/>
      <c r="J13" s="23"/>
    </row>
  </sheetData>
  <dataValidations count="1">
    <dataValidation allowBlank="true" errorStyle="stop" operator="between" showDropDown="false" showErrorMessage="false" showInputMessage="false" sqref="H6:H13" type="list">
      <formula1>"Sí,No"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32"/>
  </cols>
  <sheetData>
    <row r="1" customFormat="false" ht="17.35" hidden="false" customHeight="false" outlineLevel="0" collapsed="false">
      <c r="A1" s="1" t="s">
        <v>412</v>
      </c>
    </row>
    <row r="2" customFormat="false" ht="15" hidden="false" customHeight="false" outlineLevel="0" collapsed="false">
      <c r="A2" s="2" t="s">
        <v>413</v>
      </c>
    </row>
    <row r="4" customFormat="false" ht="23.85" hidden="false" customHeight="false" outlineLevel="0" collapsed="false">
      <c r="A4" s="11" t="s">
        <v>38</v>
      </c>
      <c r="B4" s="11" t="s">
        <v>414</v>
      </c>
      <c r="C4" s="11" t="s">
        <v>415</v>
      </c>
      <c r="D4" s="11" t="s">
        <v>416</v>
      </c>
      <c r="E4" s="11" t="s">
        <v>417</v>
      </c>
      <c r="F4" s="11" t="s">
        <v>418</v>
      </c>
      <c r="G4" s="11" t="s">
        <v>419</v>
      </c>
      <c r="H4" s="11" t="s">
        <v>420</v>
      </c>
      <c r="I4" s="11" t="s">
        <v>338</v>
      </c>
      <c r="J4" s="11" t="s">
        <v>339</v>
      </c>
    </row>
    <row r="5" customFormat="false" ht="23.85" hidden="false" customHeight="false" outlineLevel="0" collapsed="false">
      <c r="A5" s="19" t="s">
        <v>49</v>
      </c>
      <c r="B5" s="19" t="s">
        <v>421</v>
      </c>
      <c r="C5" s="19" t="s">
        <v>346</v>
      </c>
      <c r="D5" s="19" t="n">
        <v>90</v>
      </c>
      <c r="E5" s="19" t="n">
        <v>210</v>
      </c>
      <c r="F5" s="19" t="s">
        <v>422</v>
      </c>
      <c r="G5" s="19" t="s">
        <v>423</v>
      </c>
      <c r="H5" s="19" t="s">
        <v>424</v>
      </c>
      <c r="I5" s="19" t="s">
        <v>425</v>
      </c>
      <c r="J5" s="19" t="s">
        <v>426</v>
      </c>
    </row>
    <row r="6" customFormat="false" ht="15" hidden="false" customHeight="false" outlineLevel="0" collapsed="false">
      <c r="A6" s="22" t="s">
        <v>427</v>
      </c>
      <c r="B6" s="23" t="s">
        <v>421</v>
      </c>
      <c r="C6" s="23"/>
      <c r="D6" s="23"/>
      <c r="E6" s="23"/>
      <c r="F6" s="23"/>
      <c r="G6" s="23"/>
      <c r="H6" s="23"/>
      <c r="I6" s="23"/>
      <c r="J6" s="23"/>
    </row>
    <row r="7" customFormat="false" ht="15" hidden="false" customHeight="false" outlineLevel="0" collapsed="false">
      <c r="A7" s="22" t="s">
        <v>428</v>
      </c>
      <c r="B7" s="23" t="s">
        <v>429</v>
      </c>
      <c r="C7" s="23"/>
      <c r="D7" s="23"/>
      <c r="E7" s="23"/>
      <c r="F7" s="23"/>
      <c r="G7" s="23"/>
      <c r="H7" s="23"/>
      <c r="I7" s="23"/>
      <c r="J7" s="23"/>
    </row>
    <row r="8" customFormat="false" ht="15" hidden="false" customHeight="false" outlineLevel="0" collapsed="false">
      <c r="A8" s="22" t="s">
        <v>430</v>
      </c>
      <c r="B8" s="23" t="s">
        <v>386</v>
      </c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false" outlineLevel="0" collapsed="false">
      <c r="A9" s="22" t="s">
        <v>431</v>
      </c>
      <c r="B9" s="23" t="s">
        <v>432</v>
      </c>
      <c r="C9" s="23"/>
      <c r="D9" s="23"/>
      <c r="E9" s="23"/>
      <c r="F9" s="23"/>
      <c r="G9" s="23"/>
      <c r="H9" s="23"/>
      <c r="I9" s="23"/>
      <c r="J9" s="23"/>
    </row>
    <row r="10" customFormat="false" ht="15" hidden="false" customHeight="false" outlineLevel="0" collapsed="false">
      <c r="A10" s="22" t="s">
        <v>433</v>
      </c>
      <c r="B10" s="23" t="s">
        <v>434</v>
      </c>
      <c r="C10" s="23"/>
      <c r="D10" s="23"/>
      <c r="E10" s="23"/>
      <c r="F10" s="23"/>
      <c r="G10" s="23"/>
      <c r="H10" s="23"/>
      <c r="I10" s="23"/>
      <c r="J10" s="23"/>
    </row>
    <row r="11" customFormat="false" ht="15" hidden="false" customHeight="false" outlineLevel="0" collapsed="false">
      <c r="A11" s="22" t="s">
        <v>435</v>
      </c>
      <c r="B11" s="23" t="s">
        <v>436</v>
      </c>
      <c r="C11" s="23"/>
      <c r="D11" s="23"/>
      <c r="E11" s="23"/>
      <c r="F11" s="23"/>
      <c r="G11" s="23"/>
      <c r="H11" s="23"/>
      <c r="I11" s="23"/>
      <c r="J11" s="23"/>
    </row>
    <row r="12" customFormat="false" ht="15" hidden="false" customHeight="false" outlineLevel="0" collapsed="false">
      <c r="A12" s="22" t="s">
        <v>437</v>
      </c>
      <c r="B12" s="23" t="s">
        <v>438</v>
      </c>
      <c r="C12" s="23"/>
      <c r="D12" s="23"/>
      <c r="E12" s="23"/>
      <c r="F12" s="23"/>
      <c r="G12" s="23"/>
      <c r="H12" s="23"/>
      <c r="I12" s="23"/>
      <c r="J12" s="23"/>
    </row>
    <row r="13" customFormat="false" ht="15" hidden="false" customHeight="false" outlineLevel="0" collapsed="false">
      <c r="A13" s="22" t="s">
        <v>439</v>
      </c>
      <c r="B13" s="23" t="s">
        <v>440</v>
      </c>
      <c r="C13" s="23"/>
      <c r="D13" s="23"/>
      <c r="E13" s="23"/>
      <c r="F13" s="23"/>
      <c r="G13" s="23"/>
      <c r="H13" s="23"/>
      <c r="I13" s="23"/>
      <c r="J13" s="23"/>
    </row>
    <row r="14" customFormat="false" ht="15" hidden="false" customHeight="false" outlineLevel="0" collapsed="false">
      <c r="A14" s="22" t="s">
        <v>441</v>
      </c>
      <c r="B14" s="23" t="s">
        <v>442</v>
      </c>
      <c r="C14" s="23"/>
      <c r="D14" s="23"/>
      <c r="E14" s="23"/>
      <c r="F14" s="23"/>
      <c r="G14" s="23"/>
      <c r="H14" s="23"/>
      <c r="I14" s="23"/>
      <c r="J14" s="23"/>
    </row>
    <row r="15" customFormat="false" ht="15" hidden="false" customHeight="false" outlineLevel="0" collapsed="false">
      <c r="A15" s="22" t="s">
        <v>443</v>
      </c>
      <c r="B15" s="23" t="s">
        <v>444</v>
      </c>
      <c r="C15" s="23"/>
      <c r="D15" s="23"/>
      <c r="E15" s="23"/>
      <c r="F15" s="23"/>
      <c r="G15" s="23"/>
      <c r="H15" s="23"/>
      <c r="I15" s="23"/>
      <c r="J15" s="23"/>
    </row>
    <row r="16" customFormat="false" ht="15" hidden="false" customHeight="false" outlineLevel="0" collapsed="false">
      <c r="A16" s="22" t="s">
        <v>445</v>
      </c>
      <c r="B16" s="23" t="s">
        <v>446</v>
      </c>
      <c r="C16" s="23"/>
      <c r="D16" s="23"/>
      <c r="E16" s="23"/>
      <c r="F16" s="23"/>
      <c r="G16" s="23"/>
      <c r="H16" s="23"/>
      <c r="I16" s="23"/>
      <c r="J16" s="23"/>
    </row>
    <row r="17" customFormat="false" ht="15" hidden="false" customHeight="false" outlineLevel="0" collapsed="false">
      <c r="A17" s="22" t="s">
        <v>447</v>
      </c>
      <c r="B17" s="23" t="s">
        <v>448</v>
      </c>
      <c r="C17" s="23"/>
      <c r="D17" s="23"/>
      <c r="E17" s="23"/>
      <c r="F17" s="23"/>
      <c r="G17" s="23"/>
      <c r="H17" s="23"/>
      <c r="I17" s="23"/>
      <c r="J17" s="23"/>
    </row>
    <row r="18" customFormat="false" ht="15" hidden="false" customHeight="false" outlineLevel="0" collapsed="false">
      <c r="A18" s="22"/>
      <c r="B18" s="23"/>
      <c r="C18" s="23"/>
      <c r="D18" s="23"/>
      <c r="E18" s="23"/>
      <c r="F18" s="23"/>
      <c r="G18" s="23"/>
      <c r="H18" s="23"/>
      <c r="I18" s="23"/>
      <c r="J18" s="23"/>
    </row>
    <row r="19" customFormat="false" ht="15" hidden="false" customHeight="false" outlineLevel="0" collapsed="false">
      <c r="A19" s="22"/>
      <c r="B19" s="23"/>
      <c r="C19" s="23"/>
      <c r="D19" s="23"/>
      <c r="E19" s="23"/>
      <c r="F19" s="23"/>
      <c r="G19" s="23"/>
      <c r="H19" s="23"/>
      <c r="I19" s="23"/>
      <c r="J19" s="23"/>
    </row>
    <row r="20" customFormat="false" ht="15" hidden="false" customHeight="false" outlineLevel="0" collapsed="false">
      <c r="A20" s="22"/>
      <c r="B20" s="23"/>
      <c r="C20" s="23"/>
      <c r="D20" s="23"/>
      <c r="E20" s="23"/>
      <c r="F20" s="23"/>
      <c r="G20" s="23"/>
      <c r="H20" s="23"/>
      <c r="I20" s="23"/>
      <c r="J20" s="23"/>
    </row>
    <row r="21" customFormat="false" ht="15" hidden="false" customHeight="false" outlineLevel="0" collapsed="false">
      <c r="A21" s="22"/>
      <c r="B21" s="23"/>
      <c r="C21" s="23"/>
      <c r="D21" s="23"/>
      <c r="E21" s="23"/>
      <c r="F21" s="23"/>
      <c r="G21" s="23"/>
      <c r="H21" s="23"/>
      <c r="I21" s="23"/>
      <c r="J21" s="23"/>
    </row>
  </sheetData>
  <dataValidations count="3">
    <dataValidation allowBlank="true" errorStyle="stop" operator="between" showDropDown="false" showErrorMessage="false" showInputMessage="false" sqref="F6:F21" type="list">
      <formula1>"Batiente,Vaivén,Corrediza,Cortina PVC,Vano sin puerta,Otro"</formula1>
      <formula2>0</formula2>
    </dataValidation>
    <dataValidation allowBlank="true" errorStyle="stop" operator="between" showDropDown="false" showErrorMessage="false" showInputMessage="false" sqref="G6:G21" type="list">
      <formula1>"Hacia la cocina,Hacia afuera,Ambos lados,Corrediza"</formula1>
      <formula2>0</formula2>
    </dataValidation>
    <dataValidation allowBlank="true" errorStyle="stop" operator="between" showDropDown="false" showErrorMessage="false" showInputMessage="false" sqref="H6:H21" type="list">
      <formula1>"Sí,No"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1" t="s">
        <v>449</v>
      </c>
    </row>
    <row r="2" customFormat="false" ht="15" hidden="false" customHeight="false" outlineLevel="0" collapsed="false">
      <c r="A2" s="2" t="s">
        <v>450</v>
      </c>
    </row>
    <row r="4" customFormat="false" ht="23.85" hidden="false" customHeight="false" outlineLevel="0" collapsed="false">
      <c r="A4" s="11" t="s">
        <v>38</v>
      </c>
      <c r="B4" s="11" t="s">
        <v>451</v>
      </c>
      <c r="C4" s="11" t="s">
        <v>452</v>
      </c>
      <c r="D4" s="11" t="s">
        <v>453</v>
      </c>
      <c r="E4" s="11" t="s">
        <v>454</v>
      </c>
      <c r="F4" s="11" t="s">
        <v>455</v>
      </c>
      <c r="G4" s="11" t="s">
        <v>456</v>
      </c>
      <c r="H4" s="11" t="s">
        <v>457</v>
      </c>
      <c r="I4" s="11" t="s">
        <v>47</v>
      </c>
      <c r="J4" s="11" t="s">
        <v>458</v>
      </c>
      <c r="K4" s="11" t="s">
        <v>338</v>
      </c>
      <c r="L4" s="11" t="s">
        <v>339</v>
      </c>
    </row>
    <row r="5" customFormat="false" ht="23.85" hidden="false" customHeight="false" outlineLevel="0" collapsed="false">
      <c r="A5" s="19" t="s">
        <v>49</v>
      </c>
      <c r="B5" s="19" t="s">
        <v>436</v>
      </c>
      <c r="C5" s="19" t="s">
        <v>459</v>
      </c>
      <c r="D5" s="19" t="n">
        <v>4</v>
      </c>
      <c r="E5" s="19" t="s">
        <v>460</v>
      </c>
      <c r="F5" s="19" t="n">
        <v>80</v>
      </c>
      <c r="G5" s="19" t="s">
        <v>461</v>
      </c>
      <c r="H5" s="19" t="s">
        <v>462</v>
      </c>
      <c r="I5" s="19" t="s">
        <v>463</v>
      </c>
      <c r="J5" s="19" t="s">
        <v>401</v>
      </c>
      <c r="K5" s="19" t="s">
        <v>464</v>
      </c>
      <c r="L5" s="19" t="s">
        <v>465</v>
      </c>
    </row>
    <row r="6" customFormat="false" ht="23.85" hidden="false" customHeight="false" outlineLevel="0" collapsed="false">
      <c r="A6" s="22" t="s">
        <v>466</v>
      </c>
      <c r="B6" s="23" t="s">
        <v>436</v>
      </c>
      <c r="C6" s="23" t="s">
        <v>459</v>
      </c>
      <c r="D6" s="23"/>
      <c r="E6" s="23"/>
      <c r="F6" s="23"/>
      <c r="G6" s="23"/>
      <c r="H6" s="23"/>
      <c r="I6" s="23"/>
      <c r="J6" s="23"/>
      <c r="K6" s="23"/>
      <c r="L6" s="23"/>
    </row>
    <row r="7" customFormat="false" ht="15" hidden="false" customHeight="false" outlineLevel="0" collapsed="false">
      <c r="A7" s="22" t="s">
        <v>467</v>
      </c>
      <c r="B7" s="23" t="s">
        <v>438</v>
      </c>
      <c r="C7" s="23" t="s">
        <v>468</v>
      </c>
      <c r="D7" s="23"/>
      <c r="E7" s="23"/>
      <c r="F7" s="23"/>
      <c r="G7" s="23"/>
      <c r="H7" s="23"/>
      <c r="I7" s="23"/>
      <c r="J7" s="23"/>
      <c r="K7" s="23"/>
      <c r="L7" s="23"/>
    </row>
    <row r="8" customFormat="false" ht="15" hidden="false" customHeight="false" outlineLevel="0" collapsed="false">
      <c r="A8" s="22" t="s">
        <v>469</v>
      </c>
      <c r="B8" s="23" t="s">
        <v>470</v>
      </c>
      <c r="C8" s="23" t="s">
        <v>471</v>
      </c>
      <c r="D8" s="23"/>
      <c r="E8" s="23"/>
      <c r="F8" s="23"/>
      <c r="G8" s="23"/>
      <c r="H8" s="23"/>
      <c r="I8" s="23"/>
      <c r="J8" s="23"/>
      <c r="K8" s="23"/>
      <c r="L8" s="23"/>
    </row>
    <row r="9" customFormat="false" ht="15" hidden="false" customHeight="false" outlineLevel="0" collapsed="false">
      <c r="A9" s="22" t="s">
        <v>472</v>
      </c>
      <c r="B9" s="23" t="s">
        <v>473</v>
      </c>
      <c r="C9" s="23" t="s">
        <v>471</v>
      </c>
      <c r="D9" s="23"/>
      <c r="E9" s="23"/>
      <c r="F9" s="23"/>
      <c r="G9" s="23"/>
      <c r="H9" s="23"/>
      <c r="I9" s="23"/>
      <c r="J9" s="23"/>
      <c r="K9" s="23"/>
      <c r="L9" s="23"/>
    </row>
    <row r="10" customFormat="false" ht="15" hidden="false" customHeight="false" outlineLevel="0" collapsed="false">
      <c r="A10" s="22" t="s">
        <v>474</v>
      </c>
      <c r="B10" s="23" t="s">
        <v>475</v>
      </c>
      <c r="C10" s="23" t="s">
        <v>471</v>
      </c>
      <c r="D10" s="23"/>
      <c r="E10" s="23"/>
      <c r="F10" s="23"/>
      <c r="G10" s="23"/>
      <c r="H10" s="23"/>
      <c r="I10" s="23"/>
      <c r="J10" s="23"/>
      <c r="K10" s="23"/>
      <c r="L10" s="23"/>
    </row>
    <row r="11" customFormat="false" ht="15" hidden="false" customHeight="false" outlineLevel="0" collapsed="false">
      <c r="A11" s="22" t="s">
        <v>476</v>
      </c>
      <c r="B11" s="23" t="s">
        <v>477</v>
      </c>
      <c r="C11" s="23" t="s">
        <v>471</v>
      </c>
      <c r="D11" s="23"/>
      <c r="E11" s="23"/>
      <c r="F11" s="23"/>
      <c r="G11" s="23"/>
      <c r="H11" s="23"/>
      <c r="I11" s="23"/>
      <c r="J11" s="23"/>
      <c r="K11" s="23"/>
      <c r="L11" s="23"/>
    </row>
    <row r="12" customFormat="false" ht="15" hidden="false" customHeight="false" outlineLevel="0" collapsed="false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customFormat="false" ht="15" hidden="false" customHeight="false" outlineLevel="0" collapsed="false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</sheetData>
  <dataValidations count="2">
    <dataValidation allowBlank="true" errorStyle="stop" operator="between" showDropDown="false" showErrorMessage="false" showInputMessage="false" sqref="I6:I13" type="list">
      <formula1>"Bueno,Regular,Malo"</formula1>
      <formula2>0</formula2>
    </dataValidation>
    <dataValidation allowBlank="true" errorStyle="stop" operator="between" showDropDown="false" showErrorMessage="false" showInputMessage="false" sqref="J6:J13" type="list">
      <formula1>"Sí,No,No sé"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5" min="4" style="0" width="14"/>
    <col collapsed="false" customWidth="true" hidden="false" outlineLevel="0" max="8" min="6" style="0" width="9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3" min="12" style="0" width="12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24"/>
    <col collapsed="false" customWidth="true" hidden="false" outlineLevel="0" max="20" min="19" style="0" width="20"/>
    <col collapsed="false" customWidth="true" hidden="false" outlineLevel="0" max="21" min="21" style="0" width="28"/>
  </cols>
  <sheetData>
    <row r="1" customFormat="false" ht="17.35" hidden="false" customHeight="false" outlineLevel="0" collapsed="false">
      <c r="A1" s="1" t="s">
        <v>478</v>
      </c>
    </row>
    <row r="2" customFormat="false" ht="15" hidden="false" customHeight="false" outlineLevel="0" collapsed="false">
      <c r="A2" s="2" t="s">
        <v>479</v>
      </c>
    </row>
    <row r="4" customFormat="false" ht="23.85" hidden="false" customHeight="false" outlineLevel="0" collapsed="false">
      <c r="A4" s="11" t="s">
        <v>38</v>
      </c>
      <c r="B4" s="11" t="s">
        <v>480</v>
      </c>
      <c r="C4" s="11" t="s">
        <v>481</v>
      </c>
      <c r="D4" s="11" t="s">
        <v>482</v>
      </c>
      <c r="E4" s="11" t="s">
        <v>483</v>
      </c>
      <c r="F4" s="11" t="s">
        <v>484</v>
      </c>
      <c r="G4" s="11" t="s">
        <v>485</v>
      </c>
      <c r="H4" s="11" t="s">
        <v>486</v>
      </c>
      <c r="I4" s="11" t="s">
        <v>487</v>
      </c>
      <c r="J4" s="11" t="s">
        <v>488</v>
      </c>
      <c r="K4" s="11" t="s">
        <v>489</v>
      </c>
      <c r="L4" s="11" t="s">
        <v>490</v>
      </c>
      <c r="M4" s="11" t="s">
        <v>491</v>
      </c>
      <c r="N4" s="11" t="s">
        <v>492</v>
      </c>
      <c r="O4" s="11" t="s">
        <v>493</v>
      </c>
      <c r="P4" s="11" t="s">
        <v>47</v>
      </c>
      <c r="Q4" s="11" t="s">
        <v>494</v>
      </c>
      <c r="R4" s="11" t="s">
        <v>495</v>
      </c>
      <c r="S4" s="11" t="s">
        <v>496</v>
      </c>
      <c r="T4" s="11" t="s">
        <v>497</v>
      </c>
      <c r="U4" s="11" t="s">
        <v>339</v>
      </c>
    </row>
    <row r="5" customFormat="false" ht="23.85" hidden="false" customHeight="false" outlineLevel="0" collapsed="false">
      <c r="A5" s="19" t="s">
        <v>49</v>
      </c>
      <c r="B5" s="19" t="s">
        <v>498</v>
      </c>
      <c r="C5" s="19" t="n">
        <v>1</v>
      </c>
      <c r="D5" s="19" t="s">
        <v>499</v>
      </c>
      <c r="E5" s="19" t="s">
        <v>500</v>
      </c>
      <c r="F5" s="19" t="n">
        <v>102</v>
      </c>
      <c r="G5" s="19" t="n">
        <v>104</v>
      </c>
      <c r="H5" s="19" t="n">
        <v>140</v>
      </c>
      <c r="I5" s="19" t="s">
        <v>501</v>
      </c>
      <c r="J5" s="19" t="n">
        <v>120</v>
      </c>
      <c r="K5" s="19" t="n">
        <v>1</v>
      </c>
      <c r="L5" s="19" t="s">
        <v>502</v>
      </c>
      <c r="M5" s="19" t="n">
        <v>50000</v>
      </c>
      <c r="N5" s="19" t="s">
        <v>424</v>
      </c>
      <c r="O5" s="19" t="s">
        <v>424</v>
      </c>
      <c r="P5" s="19" t="s">
        <v>503</v>
      </c>
      <c r="Q5" s="19" t="s">
        <v>504</v>
      </c>
      <c r="R5" s="19" t="s">
        <v>505</v>
      </c>
      <c r="S5" s="19" t="s">
        <v>506</v>
      </c>
      <c r="T5" s="19" t="s">
        <v>507</v>
      </c>
      <c r="U5" s="19" t="s">
        <v>508</v>
      </c>
    </row>
    <row r="6" customFormat="false" ht="15" hidden="false" customHeight="false" outlineLevel="0" collapsed="false">
      <c r="A6" s="22" t="s">
        <v>509</v>
      </c>
      <c r="B6" s="23" t="s">
        <v>510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customFormat="false" ht="15" hidden="false" customHeight="false" outlineLevel="0" collapsed="false">
      <c r="A7" s="22" t="s">
        <v>511</v>
      </c>
      <c r="B7" s="23" t="s">
        <v>512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customFormat="false" ht="15" hidden="false" customHeight="false" outlineLevel="0" collapsed="false">
      <c r="A8" s="22" t="s">
        <v>513</v>
      </c>
      <c r="B8" s="23" t="s">
        <v>514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customFormat="false" ht="15" hidden="false" customHeight="false" outlineLevel="0" collapsed="false">
      <c r="A9" s="22" t="s">
        <v>515</v>
      </c>
      <c r="B9" s="23" t="s">
        <v>516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customFormat="false" ht="15" hidden="false" customHeight="false" outlineLevel="0" collapsed="false">
      <c r="A10" s="22" t="s">
        <v>517</v>
      </c>
      <c r="B10" s="23" t="s">
        <v>518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 customFormat="false" ht="15" hidden="false" customHeight="false" outlineLevel="0" collapsed="false">
      <c r="A11" s="22" t="s">
        <v>519</v>
      </c>
      <c r="B11" s="23" t="s">
        <v>520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 customFormat="false" ht="23.85" hidden="false" customHeight="false" outlineLevel="0" collapsed="false">
      <c r="A12" s="22" t="s">
        <v>521</v>
      </c>
      <c r="B12" s="23" t="s">
        <v>522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customFormat="false" ht="23.85" hidden="false" customHeight="false" outlineLevel="0" collapsed="false">
      <c r="A13" s="22" t="s">
        <v>523</v>
      </c>
      <c r="B13" s="23" t="s">
        <v>524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customFormat="false" ht="15" hidden="false" customHeight="false" outlineLevel="0" collapsed="false">
      <c r="A14" s="22" t="s">
        <v>525</v>
      </c>
      <c r="B14" s="23" t="s">
        <v>526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 customFormat="false" ht="15" hidden="false" customHeight="false" outlineLevel="0" collapsed="false">
      <c r="A15" s="22" t="s">
        <v>527</v>
      </c>
      <c r="B15" s="23" t="s">
        <v>528</v>
      </c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 customFormat="false" ht="23.85" hidden="false" customHeight="false" outlineLevel="0" collapsed="false">
      <c r="A16" s="22" t="s">
        <v>529</v>
      </c>
      <c r="B16" s="23" t="s">
        <v>530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 customFormat="false" ht="23.85" hidden="false" customHeight="false" outlineLevel="0" collapsed="false">
      <c r="A17" s="22" t="s">
        <v>531</v>
      </c>
      <c r="B17" s="23" t="s">
        <v>532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 customFormat="false" ht="15" hidden="false" customHeight="false" outlineLevel="0" collapsed="false">
      <c r="A18" s="22" t="s">
        <v>533</v>
      </c>
      <c r="B18" s="23" t="s">
        <v>534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 customFormat="false" ht="15" hidden="false" customHeight="false" outlineLevel="0" collapsed="false">
      <c r="A19" s="22" t="s">
        <v>535</v>
      </c>
      <c r="B19" s="23" t="s">
        <v>536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customFormat="false" ht="15" hidden="false" customHeight="false" outlineLevel="0" collapsed="false">
      <c r="A20" s="22" t="s">
        <v>537</v>
      </c>
      <c r="B20" s="23" t="s">
        <v>538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customFormat="false" ht="23.85" hidden="false" customHeight="false" outlineLevel="0" collapsed="false">
      <c r="A21" s="22" t="s">
        <v>539</v>
      </c>
      <c r="B21" s="23" t="s">
        <v>540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 customFormat="false" ht="15" hidden="false" customHeight="false" outlineLevel="0" collapsed="false">
      <c r="A22" s="22" t="s">
        <v>541</v>
      </c>
      <c r="B22" s="23" t="s">
        <v>542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customFormat="false" ht="15" hidden="false" customHeight="false" outlineLevel="0" collapsed="false">
      <c r="A23" s="22" t="s">
        <v>543</v>
      </c>
      <c r="B23" s="23" t="s">
        <v>544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customFormat="false" ht="15" hidden="false" customHeight="false" outlineLevel="0" collapsed="false">
      <c r="A24" s="22" t="s">
        <v>545</v>
      </c>
      <c r="B24" s="23" t="s">
        <v>546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customFormat="false" ht="15" hidden="false" customHeight="false" outlineLevel="0" collapsed="false">
      <c r="A25" s="22" t="s">
        <v>547</v>
      </c>
      <c r="B25" s="23" t="s">
        <v>548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 customFormat="false" ht="15" hidden="false" customHeight="false" outlineLevel="0" collapsed="false">
      <c r="A26" s="22" t="s">
        <v>549</v>
      </c>
      <c r="B26" s="23" t="s">
        <v>550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customFormat="false" ht="15" hidden="false" customHeight="false" outlineLevel="0" collapsed="false">
      <c r="A27" s="22" t="s">
        <v>551</v>
      </c>
      <c r="B27" s="23" t="s">
        <v>552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customFormat="false" ht="15" hidden="false" customHeight="false" outlineLevel="0" collapsed="false">
      <c r="A28" s="22" t="s">
        <v>553</v>
      </c>
      <c r="B28" s="23" t="s">
        <v>554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customFormat="false" ht="15" hidden="false" customHeight="false" outlineLevel="0" collapsed="false">
      <c r="A29" s="22" t="s">
        <v>555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customFormat="false" ht="15" hidden="false" customHeight="false" outlineLevel="0" collapsed="false">
      <c r="A30" s="22" t="s">
        <v>556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 customFormat="false" ht="15" hidden="false" customHeight="false" outlineLevel="0" collapsed="false">
      <c r="A31" s="22" t="s">
        <v>557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 customFormat="false" ht="15" hidden="false" customHeight="false" outlineLevel="0" collapsed="false">
      <c r="A32" s="22" t="s">
        <v>558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 customFormat="false" ht="15" hidden="false" customHeight="false" outlineLevel="0" collapsed="false">
      <c r="A33" s="22" t="s">
        <v>559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 customFormat="false" ht="15" hidden="false" customHeight="false" outlineLevel="0" collapsed="false">
      <c r="A34" s="22" t="s">
        <v>560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 customFormat="false" ht="15" hidden="false" customHeight="false" outlineLevel="0" collapsed="false">
      <c r="A35" s="22" t="s">
        <v>561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 customFormat="false" ht="15" hidden="false" customHeight="false" outlineLevel="0" collapsed="false">
      <c r="A36" s="22" t="s">
        <v>562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</sheetData>
  <dataValidations count="5">
    <dataValidation allowBlank="true" errorStyle="stop" operator="between" showDropDown="false" showErrorMessage="false" showInputMessage="false" sqref="I6:I36" type="list">
      <formula1>"Gas natural,GLP,Eléctrico,Gas + eléctrico,Ninguna,No sé"</formula1>
      <formula2>0</formula2>
    </dataValidation>
    <dataValidation allowBlank="true" errorStyle="stop" operator="between" showDropDown="false" showErrorMessage="false" showInputMessage="false" sqref="N6:N36" type="list">
      <formula1>"Sí,No"</formula1>
      <formula2>0</formula2>
    </dataValidation>
    <dataValidation allowBlank="true" errorStyle="stop" operator="between" showDropDown="false" showErrorMessage="false" showInputMessage="false" sqref="O6:O36" type="list">
      <formula1>"Sí,No"</formula1>
      <formula2>0</formula2>
    </dataValidation>
    <dataValidation allowBlank="true" errorStyle="stop" operator="between" showDropDown="false" showErrorMessage="false" showInputMessage="false" sqref="P6:P36" type="list">
      <formula1>"Bueno,Regular,Malo"</formula1>
      <formula2>0</formula2>
    </dataValidation>
    <dataValidation allowBlank="true" errorStyle="stop" operator="between" showDropDown="false" showErrorMessage="false" showInputMessage="false" sqref="Q6:Q36" type="list">
      <formula1>"Se queda,Se reubica,Se retira,Por decidir"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2026-10-26T02:30:16Z</dcterms:created>
  <dc:creator>openpyxl</dc:creator>
  <dc:description/>
  <dc:language>en-US</dc:language>
  <cp:lastModifiedBy/>
  <dcterms:modified xsi:type="dcterms:W3CDTF">2026-10-26T02:30:16Z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